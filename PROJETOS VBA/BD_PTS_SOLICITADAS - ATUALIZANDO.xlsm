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wasle\Downloads\"/>
    </mc:Choice>
  </mc:AlternateContent>
  <xr:revisionPtr revIDLastSave="0" documentId="13_ncr:1_{FF16CFED-C1CA-476B-BE67-494FD05A7335}" xr6:coauthVersionLast="47" xr6:coauthVersionMax="47" xr10:uidLastSave="{00000000-0000-0000-0000-000000000000}"/>
  <bookViews>
    <workbookView xWindow="-120" yWindow="-120" windowWidth="29040" windowHeight="15720" firstSheet="3" activeTab="7" xr2:uid="{212039B0-68EF-477C-8922-CC1747B6A0A9}"/>
  </bookViews>
  <sheets>
    <sheet name="DH" sheetId="2" r:id="rId1"/>
    <sheet name="UT" sheetId="7" r:id="rId2"/>
    <sheet name="TE" sheetId="6" r:id="rId3"/>
    <sheet name="HDT" sheetId="5" r:id="rId4"/>
    <sheet name="CCF" sheetId="4" r:id="rId5"/>
    <sheet name="COQUE" sheetId="3" r:id="rId6"/>
    <sheet name="BASE DADOS" sheetId="9" r:id="rId7"/>
    <sheet name="Planilha2" sheetId="11" r:id="rId8"/>
    <sheet name="IMPRIMIR_CCF" sheetId="10" r:id="rId9"/>
    <sheet name="IMPRIMIR_TE" sheetId="12" r:id="rId10"/>
    <sheet name="IMPRIMIR_DH" sheetId="13" r:id="rId11"/>
    <sheet name="IMPRIMIR_UT" sheetId="14" r:id="rId12"/>
    <sheet name="IMPRIMIR_HDT" sheetId="15" r:id="rId13"/>
    <sheet name="IMPRIMIR_COQUE" sheetId="16" r:id="rId14"/>
  </sheets>
  <definedNames>
    <definedName name="DadosExternos_1" localSheetId="0" hidden="1">DH!$A$1:$G$72</definedName>
    <definedName name="DadosExternos_2" localSheetId="6" hidden="1">'BASE DADOS'!$A$1:$H$761</definedName>
    <definedName name="DadosExternos_2" localSheetId="5" hidden="1">'COQUE'!$A$1:$G$96</definedName>
    <definedName name="DadosExternos_3" localSheetId="4" hidden="1">'CCF'!$A$1:$G$66</definedName>
    <definedName name="DadosExternos_4" localSheetId="3" hidden="1">HDT!$A$1:$H$160</definedName>
    <definedName name="DadosExternos_5" localSheetId="2" hidden="1">TE!$A$1:$G$165</definedName>
    <definedName name="DadosExternos_6" localSheetId="1" hidden="1">UT!$A$1:$G$207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5" i="11" l="1"/>
  <c r="B6" i="11"/>
  <c r="B2" i="16"/>
  <c r="E1" i="16"/>
  <c r="A1" i="16"/>
  <c r="H1" i="16" s="1"/>
  <c r="F1" i="16" s="1"/>
  <c r="B2" i="15"/>
  <c r="E1" i="15"/>
  <c r="A1" i="15"/>
  <c r="H1" i="15" s="1"/>
  <c r="F1" i="15" s="1"/>
  <c r="B2" i="14"/>
  <c r="E1" i="14"/>
  <c r="A1" i="14"/>
  <c r="H1" i="14" s="1"/>
  <c r="F1" i="14" s="1"/>
  <c r="B2" i="13"/>
  <c r="E1" i="13"/>
  <c r="A1" i="13"/>
  <c r="H1" i="13" s="1"/>
  <c r="F1" i="13" s="1"/>
  <c r="B2" i="12"/>
  <c r="E1" i="12"/>
  <c r="A1" i="12"/>
  <c r="H1" i="12" s="1"/>
  <c r="F1" i="12" s="1"/>
  <c r="A1" i="10"/>
  <c r="H1" i="10" s="1"/>
  <c r="E1" i="10"/>
  <c r="B2" i="10"/>
  <c r="F1" i="1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9ED9A6-639E-47FB-AFDC-B38811C781A4}" keepAlive="1" name="Consulta - Arquivo de Amostra" description="Conexão com a consulta 'Arquivo de Amostra' na pasta de trabalho." type="5" refreshedVersion="0" background="1">
    <dbPr connection="Provider=Microsoft.Mashup.OleDb.1;Data Source=$Workbook$;Location=&quot;Arquivo de Amostra&quot;;Extended Properties=&quot;&quot;" command="SELECT * FROM [Arquivo de Amostra]"/>
  </connection>
  <connection id="2" xr16:uid="{D90899BF-F8BF-4AC6-847A-A45C6183F86B}" keepAlive="1" name="Consulta - Arquivo de Amostra (2)" description="Conexão com a consulta 'Arquivo de Amostra (2)' na pasta de trabalho." type="5" refreshedVersion="0" background="1">
    <dbPr connection="Provider=Microsoft.Mashup.OleDb.1;Data Source=$Workbook$;Location=&quot;Arquivo de Amostra (2)&quot;;Extended Properties=&quot;&quot;" command="SELECT * FROM [Arquivo de Amostra (2)]"/>
  </connection>
  <connection id="3" xr16:uid="{2B3BBACA-5C0C-48D5-A0ED-4E5D54DF292E}" keepAlive="1" name="Consulta - Arquivo de Amostra (3)" description="Conexão com a consulta 'Arquivo de Amostra (3)' na pasta de trabalho." type="5" refreshedVersion="0" background="1">
    <dbPr connection="Provider=Microsoft.Mashup.OleDb.1;Data Source=$Workbook$;Location=&quot;Arquivo de Amostra (3)&quot;;Extended Properties=&quot;&quot;" command="SELECT * FROM [Arquivo de Amostra (3)]"/>
  </connection>
  <connection id="4" xr16:uid="{EE240D0B-D26F-4305-A6E5-7AB48145A666}" keepAlive="1" name="Consulta - Arquivo de Amostra (4)" description="Conexão com a consulta 'Arquivo de Amostra (4)' na pasta de trabalho." type="5" refreshedVersion="0" background="1">
    <dbPr connection="Provider=Microsoft.Mashup.OleDb.1;Data Source=$Workbook$;Location=&quot;Arquivo de Amostra (4)&quot;;Extended Properties=&quot;&quot;" command="SELECT * FROM [Arquivo de Amostra (4)]"/>
  </connection>
  <connection id="5" xr16:uid="{451D3ACC-DCCF-45B8-870A-740F0F839082}" keepAlive="1" name="Consulta - Arquivo de Amostra (5)" description="Conexão com a consulta 'Arquivo de Amostra (5)' na pasta de trabalho." type="5" refreshedVersion="0" background="1">
    <dbPr connection="Provider=Microsoft.Mashup.OleDb.1;Data Source=$Workbook$;Location=&quot;Arquivo de Amostra (5)&quot;;Extended Properties=&quot;&quot;" command="SELECT * FROM [Arquivo de Amostra (5)]"/>
  </connection>
  <connection id="6" xr16:uid="{900089CF-FF68-492B-BC7F-C483D22BE49F}" keepAlive="1" name="Consulta - Arquivo de Amostra (6)" description="Conexão com a consulta 'Arquivo de Amostra (6)' na pasta de trabalho." type="5" refreshedVersion="0" background="1">
    <dbPr connection="Provider=Microsoft.Mashup.OleDb.1;Data Source=$Workbook$;Location=&quot;Arquivo de Amostra (6)&quot;;Extended Properties=&quot;&quot;" command="SELECT * FROM [Arquivo de Amostra (6)]"/>
  </connection>
  <connection id="7" xr16:uid="{AB3EB7F9-4A3C-4CCF-82B3-8CD6F574A0B9}" keepAlive="1" name="Consulta - Arquivo de Amostra (7)" description="Conexão com a consulta 'Arquivo de Amostra (7)' na pasta de trabalho." type="5" refreshedVersion="0" background="1">
    <dbPr connection="Provider=Microsoft.Mashup.OleDb.1;Data Source=$Workbook$;Location=&quot;Arquivo de Amostra (7)&quot;;Extended Properties=&quot;&quot;" command="SELECT * FROM [Arquivo de Amostra (7)]"/>
  </connection>
  <connection id="8" xr16:uid="{750F3FC2-E6E2-44EC-83DA-21453621FD14}" keepAlive="1" name="Consulta - Arquivo de Amostra (8)" description="Conexão com a consulta 'Arquivo de Amostra (8)' na pasta de trabalho." type="5" refreshedVersion="0" background="1">
    <dbPr connection="Provider=Microsoft.Mashup.OleDb.1;Data Source=$Workbook$;Location=&quot;Arquivo de Amostra (8)&quot;;Extended Properties=&quot;&quot;" command="SELECT * FROM [Arquivo de Amostra (8)]"/>
  </connection>
  <connection id="9" xr16:uid="{F134CD6E-57E6-4A76-8061-EBB9372EC1D4}" keepAlive="1" name="Consulta - BASE DADOS" description="Conexão com a consulta 'BASE DADOS' na pasta de trabalho." type="5" refreshedVersion="8" background="1" saveData="1">
    <dbPr connection="Provider=Microsoft.Mashup.OleDb.1;Data Source=$Workbook$;Location=&quot;BASE DADOS&quot;;Extended Properties=&quot;&quot;" command="SELECT * FROM [BASE DADOS]"/>
  </connection>
  <connection id="10" xr16:uid="{1C7EF9D3-F2E2-4580-A7F0-949E5BF29C34}" keepAlive="1" name="Consulta - CCF" description="Conexão com a consulta 'CCF' na pasta de trabalho." type="5" refreshedVersion="8" background="1" saveData="1">
    <dbPr connection="Provider=Microsoft.Mashup.OleDb.1;Data Source=$Workbook$;Location=CCF;Extended Properties=&quot;&quot;" command="SELECT * FROM [CCF]"/>
  </connection>
  <connection id="11" xr16:uid="{2C42B108-6E32-4A4B-9F0F-C9E67FBAB669}" keepAlive="1" name="Consulta - COQUE" description="Conexão com a consulta 'COQUE' na pasta de trabalho." type="5" refreshedVersion="8" background="1" saveData="1">
    <dbPr connection="Provider=Microsoft.Mashup.OleDb.1;Data Source=$Workbook$;Location=COQUE;Extended Properties=&quot;&quot;" command="SELECT * FROM [COQUE]"/>
  </connection>
  <connection id="12" xr16:uid="{DF4CFFA7-7B84-4DCF-87A5-165579B45B65}" keepAlive="1" name="Consulta - DH" description="Conexão com a consulta 'DH' na pasta de trabalho." type="5" refreshedVersion="8" background="1" saveData="1">
    <dbPr connection="Provider=Microsoft.Mashup.OleDb.1;Data Source=$Workbook$;Location=DH;Extended Properties=&quot;&quot;" command="SELECT * FROM [DH]"/>
  </connection>
  <connection id="13" xr16:uid="{EBF83C88-051A-4718-8D7D-1D1C919EDC13}" keepAlive="1" name="Consulta - HDT" description="Conexão com a consulta 'HDT' na pasta de trabalho." type="5" refreshedVersion="8" background="1" saveData="1">
    <dbPr connection="Provider=Microsoft.Mashup.OleDb.1;Data Source=$Workbook$;Location=HDT;Extended Properties=&quot;&quot;" command="SELECT * FROM [HDT]"/>
  </connection>
  <connection id="14" xr16:uid="{FFA629A5-48AF-4574-93B2-4B7D1DD83EC9}" keepAlive="1" name="Consulta - Parâmetro1" description="Conexão com a consulta 'Parâmetro1' na pasta de trabalho." type="5" refreshedVersion="0" background="1">
    <dbPr connection="Provider=Microsoft.Mashup.OleDb.1;Data Source=$Workbook$;Location=Parâmetro1;Extended Properties=&quot;&quot;" command="SELECT * FROM [Parâmetro1]"/>
  </connection>
  <connection id="15" xr16:uid="{9E6F26AE-CFBC-446A-8545-27C60D7DF0DE}" keepAlive="1" name="Consulta - Parâmetro2" description="Conexão com a consulta 'Parâmetro2' na pasta de trabalho." type="5" refreshedVersion="0" background="1">
    <dbPr connection="Provider=Microsoft.Mashup.OleDb.1;Data Source=$Workbook$;Location=Parâmetro2;Extended Properties=&quot;&quot;" command="SELECT * FROM [Parâmetro2]"/>
  </connection>
  <connection id="16" xr16:uid="{42E1E6AA-FCB0-4880-B39D-22191694F495}" keepAlive="1" name="Consulta - Parâmetro3" description="Conexão com a consulta 'Parâmetro3' na pasta de trabalho." type="5" refreshedVersion="0" background="1">
    <dbPr connection="Provider=Microsoft.Mashup.OleDb.1;Data Source=$Workbook$;Location=Parâmetro3;Extended Properties=&quot;&quot;" command="SELECT * FROM [Parâmetro3]"/>
  </connection>
  <connection id="17" xr16:uid="{5145F28C-E850-4BB8-ACFE-8896A3C886E5}" keepAlive="1" name="Consulta - Parâmetro4" description="Conexão com a consulta 'Parâmetro4' na pasta de trabalho." type="5" refreshedVersion="0" background="1">
    <dbPr connection="Provider=Microsoft.Mashup.OleDb.1;Data Source=$Workbook$;Location=Parâmetro4;Extended Properties=&quot;&quot;" command="SELECT * FROM [Parâmetro4]"/>
  </connection>
  <connection id="18" xr16:uid="{2E3F1A15-D789-449E-A282-2D0CADAF8470}" keepAlive="1" name="Consulta - Parâmetro5" description="Conexão com a consulta 'Parâmetro5' na pasta de trabalho." type="5" refreshedVersion="0" background="1">
    <dbPr connection="Provider=Microsoft.Mashup.OleDb.1;Data Source=$Workbook$;Location=Parâmetro5;Extended Properties=&quot;&quot;" command="SELECT * FROM [Parâmetro5]"/>
  </connection>
  <connection id="19" xr16:uid="{B38D9929-358F-4581-AE16-63610F17FE8D}" keepAlive="1" name="Consulta - Parâmetro6" description="Conexão com a consulta 'Parâmetro6' na pasta de trabalho." type="5" refreshedVersion="0" background="1">
    <dbPr connection="Provider=Microsoft.Mashup.OleDb.1;Data Source=$Workbook$;Location=Parâmetro6;Extended Properties=&quot;&quot;" command="SELECT * FROM [Parâmetro6]"/>
  </connection>
  <connection id="20" xr16:uid="{7A1E3C7B-7235-4324-BE45-AD12601F7D57}" keepAlive="1" name="Consulta - Parâmetro7" description="Conexão com a consulta 'Parâmetro7' na pasta de trabalho." type="5" refreshedVersion="0" background="1">
    <dbPr connection="Provider=Microsoft.Mashup.OleDb.1;Data Source=$Workbook$;Location=Parâmetro7;Extended Properties=&quot;&quot;" command="SELECT * FROM [Parâmetro7]"/>
  </connection>
  <connection id="21" xr16:uid="{0946420F-D934-4FAD-88FF-19451ACA8721}" keepAlive="1" name="Consulta - Parâmetro8" description="Conexão com a consulta 'Parâmetro8' na pasta de trabalho." type="5" refreshedVersion="0" background="1">
    <dbPr connection="Provider=Microsoft.Mashup.OleDb.1;Data Source=$Workbook$;Location=Parâmetro8;Extended Properties=&quot;&quot;" command="SELECT * FROM [Parâmetro8]"/>
  </connection>
  <connection id="22" xr16:uid="{0D594EDC-F34A-417E-B347-7ED50F34AA69}" keepAlive="1" name="Consulta - TE" description="Conexão com a consulta 'TE' na pasta de trabalho." type="5" refreshedVersion="8" background="1" saveData="1">
    <dbPr connection="Provider=Microsoft.Mashup.OleDb.1;Data Source=$Workbook$;Location=TE;Extended Properties=&quot;&quot;" command="SELECT * FROM [TE]"/>
  </connection>
  <connection id="23" xr16:uid="{424A6693-5E6A-485C-A6E0-5D23EAF51408}" keepAlive="1" name="Consulta - Transformar Arquivo" description="Conexão com a consulta 'Transformar Arquivo' na pasta de trabalho." type="5" refreshedVersion="0" background="1">
    <dbPr connection="Provider=Microsoft.Mashup.OleDb.1;Data Source=$Workbook$;Location=&quot;Transformar Arquivo&quot;;Extended Properties=&quot;&quot;" command="SELECT * FROM [Transformar Arquivo]"/>
  </connection>
  <connection id="24" xr16:uid="{9557900F-0667-49ED-B6A3-855EFDA015F8}" keepAlive="1" name="Consulta - Transformar Arquivo (2)" description="Conexão com a consulta 'Transformar Arquivo (2)' na pasta de trabalho." type="5" refreshedVersion="0" background="1">
    <dbPr connection="Provider=Microsoft.Mashup.OleDb.1;Data Source=$Workbook$;Location=&quot;Transformar Arquivo (2)&quot;;Extended Properties=&quot;&quot;" command="SELECT * FROM [Transformar Arquivo (2)]"/>
  </connection>
  <connection id="25" xr16:uid="{121C54D0-C3F7-4A9D-B805-726B25B24D94}" keepAlive="1" name="Consulta - Transformar Arquivo (3)" description="Conexão com a consulta 'Transformar Arquivo (3)' na pasta de trabalho." type="5" refreshedVersion="0" background="1">
    <dbPr connection="Provider=Microsoft.Mashup.OleDb.1;Data Source=$Workbook$;Location=&quot;Transformar Arquivo (3)&quot;;Extended Properties=&quot;&quot;" command="SELECT * FROM [Transformar Arquivo (3)]"/>
  </connection>
  <connection id="26" xr16:uid="{02DF3EF6-CEAE-414F-A1B9-47D41DF0EA88}" keepAlive="1" name="Consulta - Transformar Arquivo (4)" description="Conexão com a consulta 'Transformar Arquivo (4)' na pasta de trabalho." type="5" refreshedVersion="0" background="1">
    <dbPr connection="Provider=Microsoft.Mashup.OleDb.1;Data Source=$Workbook$;Location=&quot;Transformar Arquivo (4)&quot;;Extended Properties=&quot;&quot;" command="SELECT * FROM [Transformar Arquivo (4)]"/>
  </connection>
  <connection id="27" xr16:uid="{499EF2AF-D10A-4339-836C-3348D21E5E58}" keepAlive="1" name="Consulta - Transformar Arquivo (5)" description="Conexão com a consulta 'Transformar Arquivo (5)' na pasta de trabalho." type="5" refreshedVersion="0" background="1">
    <dbPr connection="Provider=Microsoft.Mashup.OleDb.1;Data Source=$Workbook$;Location=&quot;Transformar Arquivo (5)&quot;;Extended Properties=&quot;&quot;" command="SELECT * FROM [Transformar Arquivo (5)]"/>
  </connection>
  <connection id="28" xr16:uid="{8043643C-D8A9-495B-9E38-7174BC1634A6}" keepAlive="1" name="Consulta - Transformar Arquivo (6)" description="Conexão com a consulta 'Transformar Arquivo (6)' na pasta de trabalho." type="5" refreshedVersion="0" background="1">
    <dbPr connection="Provider=Microsoft.Mashup.OleDb.1;Data Source=$Workbook$;Location=&quot;Transformar Arquivo (6)&quot;;Extended Properties=&quot;&quot;" command="SELECT * FROM [Transformar Arquivo (6)]"/>
  </connection>
  <connection id="29" xr16:uid="{B6C6032B-52FB-4F57-8C7C-4D707FBE0AE2}" keepAlive="1" name="Consulta - Transformar Arquivo (7)" description="Conexão com a consulta 'Transformar Arquivo (7)' na pasta de trabalho." type="5" refreshedVersion="0" background="1">
    <dbPr connection="Provider=Microsoft.Mashup.OleDb.1;Data Source=$Workbook$;Location=&quot;Transformar Arquivo (7)&quot;;Extended Properties=&quot;&quot;" command="SELECT * FROM [Transformar Arquivo (7)]"/>
  </connection>
  <connection id="30" xr16:uid="{449FB352-707A-4859-9CF9-39D53704F7B2}" keepAlive="1" name="Consulta - Transformar Arquivo (8)" description="Conexão com a consulta 'Transformar Arquivo (8)' na pasta de trabalho." type="5" refreshedVersion="0" background="1">
    <dbPr connection="Provider=Microsoft.Mashup.OleDb.1;Data Source=$Workbook$;Location=&quot;Transformar Arquivo (8)&quot;;Extended Properties=&quot;&quot;" command="SELECT * FROM [Transformar Arquivo (8)]"/>
  </connection>
  <connection id="31" xr16:uid="{A05EFABD-627E-4E47-AC8E-C5D985FA1109}" keepAlive="1" name="Consulta - Transformar o Arquivo de Exemplo" description="Conexão com a consulta 'Transformar o Arquivo de Exemplo' na pasta de trabalho." type="5" refreshedVersion="0" background="1">
    <dbPr connection="Provider=Microsoft.Mashup.OleDb.1;Data Source=$Workbook$;Location=&quot;Transformar o Arquivo de Exemplo&quot;;Extended Properties=&quot;&quot;" command="SELECT * FROM [Transformar o Arquivo de Exemplo]"/>
  </connection>
  <connection id="32" xr16:uid="{97056BE5-0CC6-4689-A4BC-CBCE422118BF}" keepAlive="1" name="Consulta - Transformar o Arquivo de Exemplo (2)" description="Conexão com a consulta 'Transformar o Arquivo de Exemplo (2)' na pasta de trabalho." type="5" refreshedVersion="0" background="1">
    <dbPr connection="Provider=Microsoft.Mashup.OleDb.1;Data Source=$Workbook$;Location=&quot;Transformar o Arquivo de Exemplo (2)&quot;;Extended Properties=&quot;&quot;" command="SELECT * FROM [Transformar o Arquivo de Exemplo (2)]"/>
  </connection>
  <connection id="33" xr16:uid="{F9DE617F-E48E-4855-B802-565944E1E85F}" keepAlive="1" name="Consulta - Transformar o Arquivo de Exemplo (3)" description="Conexão com a consulta 'Transformar o Arquivo de Exemplo (3)' na pasta de trabalho." type="5" refreshedVersion="0" background="1">
    <dbPr connection="Provider=Microsoft.Mashup.OleDb.1;Data Source=$Workbook$;Location=&quot;Transformar o Arquivo de Exemplo (3)&quot;;Extended Properties=&quot;&quot;" command="SELECT * FROM [Transformar o Arquivo de Exemplo (3)]"/>
  </connection>
  <connection id="34" xr16:uid="{4C67CBA4-8B29-43A8-AA05-C395F45ED0BE}" keepAlive="1" name="Consulta - Transformar o Arquivo de Exemplo (4)" description="Conexão com a consulta 'Transformar o Arquivo de Exemplo (4)' na pasta de trabalho." type="5" refreshedVersion="0" background="1">
    <dbPr connection="Provider=Microsoft.Mashup.OleDb.1;Data Source=$Workbook$;Location=&quot;Transformar o Arquivo de Exemplo (4)&quot;;Extended Properties=&quot;&quot;" command="SELECT * FROM [Transformar o Arquivo de Exemplo (4)]"/>
  </connection>
  <connection id="35" xr16:uid="{4F2EAD60-5BF3-4FC5-9A1D-20B5F5FE62F7}" keepAlive="1" name="Consulta - Transformar o Arquivo de Exemplo (5)" description="Conexão com a consulta 'Transformar o Arquivo de Exemplo (5)' na pasta de trabalho." type="5" refreshedVersion="0" background="1">
    <dbPr connection="Provider=Microsoft.Mashup.OleDb.1;Data Source=$Workbook$;Location=&quot;Transformar o Arquivo de Exemplo (5)&quot;;Extended Properties=&quot;&quot;" command="SELECT * FROM [Transformar o Arquivo de Exemplo (5)]"/>
  </connection>
  <connection id="36" xr16:uid="{069C334E-55A2-418C-87BE-3C24C8BC13BA}" keepAlive="1" name="Consulta - Transformar o Arquivo de Exemplo (6)" description="Conexão com a consulta 'Transformar o Arquivo de Exemplo (6)' na pasta de trabalho." type="5" refreshedVersion="0" background="1">
    <dbPr connection="Provider=Microsoft.Mashup.OleDb.1;Data Source=$Workbook$;Location=&quot;Transformar o Arquivo de Exemplo (6)&quot;;Extended Properties=&quot;&quot;" command="SELECT * FROM [Transformar o Arquivo de Exemplo (6)]"/>
  </connection>
  <connection id="37" xr16:uid="{C58F2011-3750-421B-AA8C-5B0F5C055F9C}" keepAlive="1" name="Consulta - Transformar o Arquivo de Exemplo (7)" description="Conexão com a consulta 'Transformar o Arquivo de Exemplo (7)' na pasta de trabalho." type="5" refreshedVersion="0" background="1">
    <dbPr connection="Provider=Microsoft.Mashup.OleDb.1;Data Source=$Workbook$;Location=&quot;Transformar o Arquivo de Exemplo (7)&quot;;Extended Properties=&quot;&quot;" command="SELECT * FROM [Transformar o Arquivo de Exemplo (7)]"/>
  </connection>
  <connection id="38" xr16:uid="{10D866CB-AE11-446B-B616-237EE2AAFBC7}" keepAlive="1" name="Consulta - Transformar o Arquivo de Exemplo (8)" description="Conexão com a consulta 'Transformar o Arquivo de Exemplo (8)' na pasta de trabalho." type="5" refreshedVersion="0" background="1">
    <dbPr connection="Provider=Microsoft.Mashup.OleDb.1;Data Source=$Workbook$;Location=&quot;Transformar o Arquivo de Exemplo (8)&quot;;Extended Properties=&quot;&quot;" command="SELECT * FROM [Transformar o Arquivo de Exemplo (8)]"/>
  </connection>
  <connection id="39" xr16:uid="{6E3550B1-875B-4331-B20F-846CA5DA299D}" keepAlive="1" name="Consulta - UT" description="Conexão com a consulta 'UT' na pasta de trabalho." type="5" refreshedVersion="8" background="1" saveData="1">
    <dbPr connection="Provider=Microsoft.Mashup.OleDb.1;Data Source=$Workbook$;Location=UT;Extended Properties=&quot;&quot;" command="SELECT * FROM [UT]"/>
  </connection>
</connections>
</file>

<file path=xl/sharedStrings.xml><?xml version="1.0" encoding="utf-8"?>
<sst xmlns="http://schemas.openxmlformats.org/spreadsheetml/2006/main" count="6217" uniqueCount="698">
  <si>
    <t>DATA PROGRAMADA</t>
  </si>
  <si>
    <t>PT</t>
  </si>
  <si>
    <t>ESPECIALIDADE</t>
  </si>
  <si>
    <t>DESCRIÇÃO DA PT</t>
  </si>
  <si>
    <t>STATUS</t>
  </si>
  <si>
    <t>LOCAL</t>
  </si>
  <si>
    <t>DATA SOLICITAÇÃO</t>
  </si>
  <si>
    <t>INSTRUMENTAÇÃO</t>
  </si>
  <si>
    <t>DH</t>
  </si>
  <si>
    <t>LABORATÓRIO</t>
  </si>
  <si>
    <t>IMPRESSA</t>
  </si>
  <si>
    <t>COMPLEMENTAR</t>
  </si>
  <si>
    <t>MECÂNICA</t>
  </si>
  <si>
    <t>ENCERRADA/CONCLUÍDA</t>
  </si>
  <si>
    <t>CALDEIRARIA</t>
  </si>
  <si>
    <t>ELÉTRICA</t>
  </si>
  <si>
    <t>ENCERRADA/NÃO CONCLUÍDA</t>
  </si>
  <si>
    <t>EM ANDAMENTO</t>
  </si>
  <si>
    <t>PT NÃO EMITIDA</t>
  </si>
  <si>
    <t>INST</t>
  </si>
  <si>
    <t>UT</t>
  </si>
  <si>
    <t>CANCELADA</t>
  </si>
  <si>
    <t>ELE</t>
  </si>
  <si>
    <t>CAL</t>
  </si>
  <si>
    <t>PT COM EXECUTANTE</t>
  </si>
  <si>
    <t>MEC</t>
  </si>
  <si>
    <t>COMP</t>
  </si>
  <si>
    <t>ENG</t>
  </si>
  <si>
    <t>ENCERRADA / CONCLUÍDA</t>
  </si>
  <si>
    <t>TE</t>
  </si>
  <si>
    <t>HDT</t>
  </si>
  <si>
    <t>ENCERRADA / NÃO CONCLUÍDA</t>
  </si>
  <si>
    <t>CCF</t>
  </si>
  <si>
    <t>COQUE</t>
  </si>
  <si>
    <t>ID</t>
  </si>
  <si>
    <t>DATA HOJE</t>
  </si>
  <si>
    <t>HORA ATUAL</t>
  </si>
  <si>
    <t>SOLICITAÇÃO MAIS RECENTE</t>
  </si>
  <si>
    <t>Emissão do relatório</t>
  </si>
  <si>
    <t>MATRÍCULA</t>
  </si>
  <si>
    <t>HORA</t>
  </si>
  <si>
    <t>ASSINATURA</t>
  </si>
  <si>
    <t>TE - FINAL - AV B - INTELIGAÇÃO S10
EXECUÇÃO DE ESTACA RAIZ, FORMA, ARMAÇÃO, CONCRETAGEM, GRAUTEAMENTO, ESCAVAÇÃO MECÂNICA E/OU MANUAL, DEMOLIÇÃO E REATERRO.
COM USO DE FERRAMENTAS MANUAIS, BETONEIRA, GERADOR, CAMINHÃO MUNCK E BOMBA D' ÁGUA. APOIO DE ELETRICISTA, TOPOGRAFIA E RETROESCAVADEIRA.</t>
  </si>
  <si>
    <t>UT - PT-00
EXECUÇÃO DE DEMOLIÇÃO, FORMA, ARMAÇÃO, CONCRETAGEM, ATERRO, ESCAVAÇÃO MECÂNICA E/OU MANUAL. COM USO DE FERRAMENTAS DE MANUAIS, GERADOR À GASOLINA, COMPACTADOR À GASOLINA, MOTOR VIBRADOR À GASOLINA, FURADEIRA ELÉTRICA, MARTELETE ELÉTRICO E PNEUMÁTICO. APOIO DE CAMINHÃO MUNCK, RETROESCAVADEIRA, ELETRICISTA, TOPOGRAFIA E ANDAIME.</t>
  </si>
  <si>
    <t>CCF 1 - MONTAGEM, DESMONTAGEM DE ANDAIMES E PAU DE CARGA, E APOIO DE ANDAIMISTA CONFORME SOLICITAÇÃO DA OPERAÇÃO COM USO DE FERRAMENTAS MANUAIS. APOIO DE CAMINHÃO E GROOVE PARA TRANSPORTE DE MATERIAIS.</t>
  </si>
  <si>
    <t>AIT-222250001: MANUTENÇÃO PREVENTIVA NO ANALISADOR, COM USO DE FERRAMENTAS MANUAIS E MULTÍMETRO - INSPEÇÃO VISUAL DO ANALISADOR, INSPEÇÃO DO SISTEMAS DE AMOSTRAGEM, TOMADAS DE AMOSTRAS, SISTEMA DE CONDICIONAMENTO DE AMOSTRAS, DESCARTE DE AMOSTRA E SISTEMA DE MEDIÇÃO, CALIBRAÇÃO COM USO DE GÁS PADRÃO, AJUSTE DE PRESSÃO E VAZÃO, LEITURA E INTERPRETAÇÃO DE INFORMAÇÕES VIA IHM, AVALIAÇÃO DE TRANSMISSÃO DE SINAL PARA SDCD, REMOÇÃO E INSTALAÇÃO DOS FILTROS ÓPTICOS, DO DEMISTER E DO EJETOR PARA LIMPEZA;</t>
  </si>
  <si>
    <t>ENGENHARIA</t>
  </si>
  <si>
    <t>TE - FINAL - AV B - INTELIGAÇÃO S10 EXECUÇÃO DE ESTACA RAIZ, FORMA, ARMAÇÃO, CONCRETAGEM, GRAUTEAMENTO, ESCAVAÇÃO MECÂNICA E/OU MANUAL, DEMOLIÇÃO E REATERRO. COM USO DE FERRAMENTAS MANUAIS, BETONEIRA, GERADOR, CAMINHÃO MUNCK E BOMBA D' ÁGUA. APOIO DE ELETRICISTA, TOPOGRAFIA E RETROESCAVADEIRA.</t>
  </si>
  <si>
    <t>31-MP-2001E: Reparar/substituir cabos de alimentação do motor; Apoio de megômetro, caminhão vácuo, escada portátil e ferramentas manuais.        ### COM LIBRA ###</t>
  </si>
  <si>
    <t>Linhas</t>
  </si>
  <si>
    <t>121-E-0003A: REALIZAR A ABERTURA DAS TAMPAS, COM USO DE FERRAMENTAS MANUAIS, LIXADEIRA E APOIO DE ELETRICA E MAQUINA DE CAMPO.</t>
  </si>
  <si>
    <t>121-E-0003A: REALIZAR INSTALAÇÃO DE RAQUETES, COM USO DE FERRAMENTAS MANUAIS.</t>
  </si>
  <si>
    <t>4040-PN-04(PCU16MFP7): REPARAR CONTROLADOR, COM USO DE FERRAMENTAS MANUAIS.</t>
  </si>
  <si>
    <t xml:space="preserve">0123-TGP-0001B: Revisar conjunto turbina/redutor; revisar/remover/instalar: mangotes e tubulações, trocadores de óleo, bomba de óleo, redutor e mancais da turbina, com o uso de ferramentas manuais. APOIO DE máquina de campo e caminhão.
</t>
  </si>
  <si>
    <t xml:space="preserve">CCF 1 - REALIZAR PREPARAÇÃO E PINTURA NOS PONTOS INDICADOS PELA OPERAÇÃO EM TUBULAÇÃO NO LB DA U-03/04 COM USO DE FERRAMENTAS MANUAIS. </t>
  </si>
  <si>
    <t>CCF 1 - REALIZAR REMOÇÃO/RECOMPOSIÇÃO DE ISOLAMENTO TÉRMICO CONFORME SOLICITAÇÃO DA OPERAÇÃO NO LB DA U-03/04 COM USO DE FERRAMENTAS MANUAIS</t>
  </si>
  <si>
    <t>DATA DE LIBERAÇÃO NO CAMPO</t>
  </si>
  <si>
    <t xml:space="preserve">0052-P-0024A - REALIZAR A INSTALAÇÃO DA BOMBA COM USO DE FERRAMENTAS MANUAIS, TALHA MANUAL E APOIO DE MAQUINA DE CAMPO PARA TRANSPORTE. 
</t>
  </si>
  <si>
    <t>0052-P-0024A: REALIZAR DESMONTAGEM ANDAIME (PAU DE CARGA) COM USO DE FERRAMENTAS MANUAIS.</t>
  </si>
  <si>
    <t>0052-F-0001A: REALIZAR LIMPEZA DE QUEIMADORES E PILOTOS COM USO DE FERRAMENTAS MANUAIS.</t>
  </si>
  <si>
    <t>0052-R-0001D: REALIZAR MONTAGEM, MODIFICAÇÃO E DESMONTAGEM ANDAIME COM USO DE FERRAMENTAS MANUAIS.</t>
  </si>
  <si>
    <t>0052-XCV-0004B: REALIZAR AQUECIMENTO DA VÁLVULA DE CONTROLE COM USO DE FERRAMENTAS MANUAIS E MÁQUINA DE TRATAMENTO TÉRMICO.</t>
  </si>
  <si>
    <t xml:space="preserve">HC - LAJE DO REATOR
PINTURA/RECUPERAÇÃO DO PISO E PILARES PRÓXIMO A ÁREA DA LAJE DA RAMPA DOS REATORES NO TÉRREO COM USO DE ARGAMASSA, TINTA E FERRAMENTAS MANUAIS.
</t>
  </si>
  <si>
    <t>TE-ETDI: U-32 - DESARENADOR: ADENTRAR NA BAC PARA REMOÇÃO DE RESÍDUOS/EFLUENTES COM APOIO DE CALDEIRARIA E MOVIMENTAÇÃO DE CARGA, ANDAIME, USO DE RETRO, ESCAVADEIRA, GUINDASTE, USO DE FERRAMENTAS MANUAIS, EQUIPAMENTOS ELÉTRICOS E INSTALAÇÃO DE BOMBA ITU</t>
  </si>
  <si>
    <t xml:space="preserve">0028-P-0004 C - Realizar a remoção da bomba com uso de talha e ferramentas manuais e apoio de máquina de campo.
</t>
  </si>
  <si>
    <t>TE - FINAL - TQ-76J
DEMOLIÇÃO DE CONCRETO, ESCAVAÇÃO MANUAL E/OU MECÂNICA, REATERRO, CONCRETAGEM E ESCAVAÇÃO PARCIAL DO DE TALUDE, MANTENDO SUA CONTENÇÃO, PARA INSPEÇÃO DA TUBULAÇÃO.
COM USO DE FERRAMENTAS MANUAIS, MARTELETE ELÉTRICO. APOIO DE RETROESCAVADEIRA, ELETRICISTA.</t>
  </si>
  <si>
    <t xml:space="preserve">REALIZAR INSPEÇÃO, PREPARAÇÃO E PINTURA DAS ESTRUTURAS METALICAS NO ENTORNO DO TANQUE .
</t>
  </si>
  <si>
    <t>102-P-02A/B E 0102-P-005A/B - INSTALAR REMOVIVEIS COM USO DE FERRAMENTAS MANUAIS E FURADEIRA</t>
  </si>
  <si>
    <t>110-AT-450 : REMOÇÃO DA SONDA, INSTALAR SONDA, USO DE MULTÍMETRO DIGITAL, TRABALHO EM DUPLA, USO DE FERRAMENTAS MANUAIS E MATERIAIS.</t>
  </si>
  <si>
    <t>U-043 BARRAGEM DE IBIRITÉ
SERVIÇOS DE REVITALIZAÇÃO DA BARRAGEM DE IBIRITÉ.
COM USO DE FERRAMENTAS MANUAIS, MARTELO ELÉTRICO, SERRA MÁRMORE, GERADOR À GASOLINA, MOTOR VIBRADOR À GASOLINA, COMPACTADOR À GASOLINA E FURADEIRA ELÉTRICA. APOIO DE CAMINHÃO MUNCK, CAMINHÃO BASCULANTE E RETROESCAVADEIRA PARA CARREGAMENTO E TRANSPORTE DE MATERIAIS.</t>
  </si>
  <si>
    <t>0023-MZ-0001/0002: REALIZAR MONTAGEM, DESMONTAGEM E MODIFICAÇÃO DE ANDAIME INTERNO/EXTERNO EM APOIO A REFORMA DA CÉLULA B, COM USO DE FERRAMENTA MANUAIS E APOIO DE CAMINHÃO.</t>
  </si>
  <si>
    <t>423-K-0001B: REALIZAR MONTAGEM, MODIFICAÇÃO E DESMONTAGEM DE ANDAIME, COM USO DE FERRAMENTAS MANUAIS E APOIO DE CAMINHÃO PARA TRANSPORTE DE MATERIAIS.</t>
  </si>
  <si>
    <t>215- BT-02: Revisar bancos de bateria e inspecionar nível de eletrolítos; Apoio de ferramentas manuais.</t>
  </si>
  <si>
    <t>0136-FT-0002: REVISAR INDICAÇÕES DA IHM, COM USO DE FERRAMENTAS MANUAIS.</t>
  </si>
  <si>
    <t xml:space="preserve">4040-PN-04(PCU16MFP9): REPARAR CONTROLADOR, COM USO DE FERRAMENTAS MANUAIS.
</t>
  </si>
  <si>
    <t>U123: REALIZAR DESMONTAGEM DE ANDAIME, COM USO DE FERRAMENTAS MANUAIS E APOIO DE CAMINHÃO PARA TRANSPORTE DE MATERIAIS.
OBS: NECESSARIO PARAR A PONTE PARA REALIZAÇÃO DA ATIVIDADE DE DESMONTAGEM DE ANDAIME.</t>
  </si>
  <si>
    <t>0121-E-0003A: APOIO DE CALDEIRARIA E COMPLEMENTAR PARA REMOÇÃO DO ÓLEO DO TROCADOR PARA TAMBORES COM USO DE FERRAMENTAS MANUAIS E APOIO DE MAQUINA DE CAMPO PARA TRANSPORTE.</t>
  </si>
  <si>
    <t xml:space="preserve">0025-PSV-0006 REMOVER PSV COM USO FERRAMENTAS MANUAIS.
</t>
  </si>
  <si>
    <t xml:space="preserve">2410-PSV-0003 REMOVER PSV COM USO FERRAMENTAS MANUAIS.
</t>
  </si>
  <si>
    <t>REVISAR CIRCUITO DE ILUMINAÇÃO EMERGENCIA COM ATIVIDADES DE TROCA DE LÂMPADAS,LUMINÁRIAS E REATORES; APOIO DE ESCADA PORTÁTIL E FERRAMENTAS MANUAIS.</t>
  </si>
  <si>
    <t>121-F-001B : REVISAR CIRCUITO DE ILUMINAÇÃO NORMAL E EMERGENCIA COM ATIVIDADES DE TROCA DE LÂMPADAS,LUMINÁRIAS E REATORES; APOIO DE ESCADA PORTÁTIL E FERRAMENTAS MANUAIS.</t>
  </si>
  <si>
    <t>121-F-001C : REVISAR CIRCUITO DE ILUMINAÇÃO NORMAL E EMERGENCIA COM ATIVIDADES DE TROCA DE LÂMPADAS,LUMINÁRIAS E REATORES; APOIO DE ESCADA PORTÁTIL E FERRAMENTAS MANUAIS.</t>
  </si>
  <si>
    <t xml:space="preserve">0047-XV-0833A - SUBSTITUIR VÁLVULA BLOCO COM USO DE FERRAMENTAS MANUAIS.
</t>
  </si>
  <si>
    <t xml:space="preserve">4040-PN-04(PCU16MFP3): REPARAR CONTROLADOR, COM USO DE FERRAMENTAS MANUAIS.
</t>
  </si>
  <si>
    <t>gadas
4040-PN-04(PCU16MFP5): REPARAR CONTROLADOR, COM USO DE FERRAMENTAS MANUAIS.</t>
  </si>
  <si>
    <t xml:space="preserve">0423-K-0001B - Realizar movimentação de materiais e montar pás no ventilador com uso de ferramentas manuais.
</t>
  </si>
  <si>
    <t xml:space="preserve">UTILIDADES UNIDADES 47 - REALIZAR AJUSTE DE GAXETA COM USO DE FERRAMENTAS MANUAIS NOS SEGUINTES EQUIPAMENTOS : 47P001A/B, 47P004 B/C, 47P26, 47P27, 47P32 A/B, 47P050 A/B/C/D, 47P1101 A/B/C/D, 47P1102 A/B/C, 47P1105 A/B.
</t>
  </si>
  <si>
    <t xml:space="preserve">UTILIDADES UNIDADES 23, 123 - REALIZAR AJUSTE DE GAXETA COM USO DE FERRAMENTAS MANUAIS NOS SEGUINTES EQUIPAMENTOS : 23P001 A/B/C/D, 123P01 A/B/C, 123P02 A/B.
</t>
  </si>
  <si>
    <t xml:space="preserve">UTILIDADES UNIDADES 121 - REALIZAR AJUSTE DE GAXETA COM USO DE FERRAMENTAS MANUAIS NOS SEGUINTES EQUIPAMENTOS : 121P02 A/B/C, 121P03 A/B/C, 121P04 A/B, 121P05 A/B/C, 121P10 A/B/C, 121P17 A/B.
</t>
  </si>
  <si>
    <t xml:space="preserve">LIMPEZA ROTINEIRA DE PISO EM SALAS OPERACIONAIS. VARRER, PASSAR PANO ÚMIDO, LIMPAR VIDRO, RETIRAR TEIAS DE ARANHA. REALIZAR LIMPEZA PESADA COM USO DE MÁQUINA (ENCERADEIRA) ELÉTRICA, SE NECESSÁRIO E PERMITIDO. RECOLHER LIXO E RESÍDUO GERADO, FAZENDO DEVIDO DESCARTE. 
LOCAL: CCL 15 </t>
  </si>
  <si>
    <t>0123-GP-0001B: REALIZAR MONTAGEM, MODIFICAÇÃO E DESMONTAGEM DE ANDAIME, COM USO DE FERRAMENTAS MANUAIS E APOIO DE CAMINHÃO PARA TRANSPORTE DE MATERIAIS.</t>
  </si>
  <si>
    <t>25-Z-02: REALIZAR MONTAGEM, MODIFICAÇÃO E DESMONTAGEM DE ANDAIME, COM USO DE FERRAMENTAS MANUAIS E APOIO DE CAMINHÃO PARA TRANSPORTE DE MATERIAIS.</t>
  </si>
  <si>
    <t>REALIZAR COLETA DE ÓLEO MINERAL ISOLANTE DOS TRAFOS, 00-TF-01, 00-TF-02, 00-TF-03, 00-TF-04 COM APOIO DE FERRAMENTAS MANUAIS.</t>
  </si>
  <si>
    <t>0123-TP-0001B: REVISAR GOVERNADOR ELETRÔNICO, COM USO DE FERRAMENTAS MANUAIS</t>
  </si>
  <si>
    <t>REALIZAR COLETA DE ÓLEO MINERAL ISOLANTE DOS TRAFOS, 05-TF-02-A,05-TF-02-B, 05-TF-03-A, 05-TF-03-B COM APOIO DE FERRAMENTAS MANUAIS.</t>
  </si>
  <si>
    <t>REALIZAR COLETA DE ÓLEO MINERAL ISOLANTE DOS TRAFOS, 07-TF-03A, 07-TF-03B. COM APOIO DE FERRAMENTAS MANUAIS.</t>
  </si>
  <si>
    <t>25-Z-01: REALIZAR MONTAGEM, MODIFICAÇÃO E DESMONTAGEM DE ANDAIME, COM USO DE FERRAMENTAS MANUAIS E APOIO DE CAMINHÃO PARA TRANSPORTE DE MATERIAIS.</t>
  </si>
  <si>
    <t>REALIZAR COLETA DE ÓLEO MINERAL ISOLANTE DOS TRAFO, 08-TF-01. COM APOIO DE FERRAMENTAS MANUAIS</t>
  </si>
  <si>
    <t>121-PT-0802A REALIZAR MONTAGEM, MODIFICAÇÃO E DESMONTAGEM DE ANDAIME, COM USO DE FERRAMENTAS MANUAIS E APOIO DE CAMINHÃO PARA TRANSPORTE DE MATERIAIS.</t>
  </si>
  <si>
    <t>REALIZAR COLETA DE ÓLEO MINERAL ISOLANTE DOS TRAFOS, 121-TF-01, 121-TF-02, 121-TF-03, 121-TF-04, COM APOIO DE FERRAMENTAS MANUAIS.</t>
  </si>
  <si>
    <t>123-K-01D: REALIZAR MONTAGEM, MODIFICAÇÃO E DESMONTAGEM DE ANDAIME, COM USO DE FERRAMENTAS MANUAIS E APOIO DE CAMINHÃO PARA TRANSPORTE DE MATERIAIS.</t>
  </si>
  <si>
    <t xml:space="preserve">REALIZAR COLETA DE ÓLEO MINERAL ISOLANTE DOS TRAFOS, 123-TF-02A, 123-TF-02B, 123-TF-03A, 123-TF-03B, COM APOIO DE FERRAMENTAS MANUAIS. </t>
  </si>
  <si>
    <t>ANALISADORES 0003-AT-0005: MANUTENÇÃO CORRETIVA COM ACESSO À CHAMINÉ NOS ANALISADORES, COM USO DE FERRAMENTAS MANUAIS E MULTÍMETRO - INSPEÇÃO VISUAL DO ANALISADOR, REPOSIÇÃO DE CONSUMÍVEIS, MANUSEIO E ALINHAMENTO DE GASES PADRÃO, LIMPEZA DO SISTEMA DE MEDIÇÃO E FILTRO, AJUSTE DE PRESSÃO E VAZÃO, LEITURA E INTERPRETAÇÃO DE INFORMAÇÕES VIA IHM, CALIBRAÇÃO COM SOLUÇÃO PADRÃO, AVALIAÇÃO DE TRANSMISSÃO DE SINAL PARA SDCD, SUBSTITUIÇÃO DE PEÇAS DEFEITUOSAS; APOIO DE CAMINHONETE PARA TRANSPORTE DE PESSOAS, FERRAMENTAS, PEÇAS E CILINDROS.</t>
  </si>
  <si>
    <t>31- HS-02(31-MP-42): Revisar central, testar funcionamento e substituir detector de fumaça, com as atividades de interligação de cabos, desmontagem/montagem de eletroduto e suportes; Apoio de furadeira elétrica, escada portátil e ferramentas manuais.</t>
  </si>
  <si>
    <t>REALIZAR COLETA DE ÓLEO MINERAL ISOLANTE DOS TRAFOS, 12-TF-02A, 12-TF-02B, 12-TF-03A, 12-TF-03B, COM APOIO DE FERRAMENTAS MANUAIS.</t>
  </si>
  <si>
    <t>REALIZAR COLETA DE ÓLEO MINERAL ISOLANTE DOS TRAFO 13-TF-02, COM APOIO DE FERRAMENTAS MANUAIS.</t>
  </si>
  <si>
    <t>REALIZAR COLETA DE ÓLEO MINERAL ISOLANTE DOS TRAFO 15-TF-01, COM APOIO DE FERRAMENTAS MANUAIS</t>
  </si>
  <si>
    <t>REALIZAR COLETA DE ÓLEO MINERAL ISOLANTE DOS TRAFOS, 17-TF-03-A, 17-TF-03-B, COM APOIO DE FERRAMENTAS MANUAIS</t>
  </si>
  <si>
    <t xml:space="preserve"> 0121-E-0003A: REALIZAR A REMOÇÃO DE COMPONENTES, COM USO DE FERRAMENTAS MANUAIS E APOIO DE MAQUINA DE CAMPO PARA TRANSPORTE DE MATERIAIS.</t>
  </si>
  <si>
    <t>0047-XV-0833A - DESLIGAR / LIGAR VÁLVULA - COM USO DE FERRAMENTAS MANUAIS.</t>
  </si>
  <si>
    <t>121 F 01B: REALIZAR PREVENTIVA DE QUEIMADORES, COM USO DE FERRAMENTAS MANUAIS.</t>
  </si>
  <si>
    <t>121 F 01 A: REALIZAR PREVENTIVA DE QUEIMADORES, COM USO DE FERRAMENTAS MANUAIS.</t>
  </si>
  <si>
    <t>0047-XV-0833A: REALIZAR ABERTURA/FECHAMENTO DE FLANGES, COM USO DE FERRAMENTAS MANUAIS.</t>
  </si>
  <si>
    <t xml:space="preserve">0043-LI-0002 AGUARDANDO AVALIAÇÃO OTM, COM USO DE FERRAMENTAS MANUAIS.
</t>
  </si>
  <si>
    <t>0125-K-0001 - REVISAR / REPARAR / SUBSTITUIR PURGADOR, COM USO DE FERRAMENTAS MANUAIS.</t>
  </si>
  <si>
    <t>47-P-0037: REALIZAR PINTURA DA LINHA DE DESCARGA COM USO DE FERRAMENTAS MANUAIS.</t>
  </si>
  <si>
    <t xml:space="preserve">0121-PT-0802A - CONFECCIONAR TUBBING, COM USO DE FERRAMENTAS MANUAIS.
</t>
  </si>
  <si>
    <t>REALIZAR COLETA DE ÓLEO MINERAL ISOLANTE DOS TRAFO 203-TF-01, COM APOIO DE FERRAMENTAS MANUAIS.</t>
  </si>
  <si>
    <t>123-K-0001D: REALIZAR LIMPEZA DE BICOS DISTRIBUIDORES, COM USO DE FERRAMENTAS MANUAIS.</t>
  </si>
  <si>
    <t>121-TU-1007 PQT61351: REALIZAR LIMPEZA DO LOCAL, PARA REALIZAÇÃO A VERIFICAÇÃO DO VAZAMENTO, COM USO DE FERRAMENTAS MANUAIS E APOIO DE CAMINHÃO VACUO.</t>
  </si>
  <si>
    <t>0123-TP-0001B: REALIZAR REMOÇÃO DE RAQUETES, COM USO DE FERRAMENTAS MANUAIS.</t>
  </si>
  <si>
    <t>11-BT-01 (PREV. TRIMESTRAL): REALIZAR MANUTENÇÃO PREVENTIVA NOS BANCOS DE BATERIAS, COM ATIVIDADES DE INSPEÇÃO DE ELEMENTOS, REPOSIÇÃO DO NÍVEL DE ELETRÓLITO, MEDIÇÕES E LIMPEZA DE POLOS. UTILIZAÇÃO DE FERRAMENTAS MANUAIS E MULTÍMETRO.</t>
  </si>
  <si>
    <t>14-BT-01 (PREV. SEMESTRAL): REALIZAR MANUTENÇÃO PREVENTIVA NOS BANCOS DE BATERIAS, COM ATIVIDADES DE INSPEÇÃO DE ELEMENTOS, REPOSIÇÃO DO NÍVEL DE ELETRÓLITO, MEDIÇÕES E LIMPEZA DE POLOS. UTILIZAÇÃO DE FERRAMENTAS MANUAIS E MULTÍMETRO</t>
  </si>
  <si>
    <t>0204-BT-0003 (PREV. SEMESTRAL): REALIZAR MANUTENÇÃO PREVENTIVA NOS BANCOS DE BATERIAS, COM ATIVIDADES DE INSPEÇÃO DE ELEMENTOS, REPOSIÇÃO DO NÍVEL DE ELETRÓLITO, MEDIÇÕES E LIMPEZA DE POLOS. UTILIZAÇÃO DE FERRAMENTAS MANUAIS E MULTÍMETRO.</t>
  </si>
  <si>
    <t>125-Z-01AB: REALIZAR APOIO DE CALDEIRARIA PARA ADEQUAÇÃO DE GM, COM USO DE FERRAMENTAS MANUAIS, CORTE E SOLDA, ESMERILHAMENTO, APOIO DE ELETRICA E MAQUINA DE CAMPO.</t>
  </si>
  <si>
    <t>202-BT-0001: EXECUTAR LIMPEZA DA SALA DE BATERIA E DAS BATERIAS; COM APOIO DE FERRAMENTAS MANUAIS.</t>
  </si>
  <si>
    <t>0202-BT-0002: EXECUTAR LIMPEZA DA SALA DE BATERIA E DAS BATERIAS; COM APOIO DE FERRAMENTAS MANUAIS</t>
  </si>
  <si>
    <t xml:space="preserve">0123-MP-0002A - REALIZAR LIMPEZA NA CARCAÇA DA BOMBA COM USO DE FERRAMENTAS MANUAIS.
</t>
  </si>
  <si>
    <t>221-F-01: REALIZAR PREVENTIVA DA CALDEIRA, COM USO DE FERRMENTAS MANUAIS.</t>
  </si>
  <si>
    <t>LIMPEZA ROTINEIRA DE PISO EM SALAS OPERACIONAIS. VARRER, PASSAR PANO ÃMIDO, LIMPAR VIDRO, RETIRAR TEIAS DE ARANHA. REALIZAR LIMPEZA PESADA COM USO DE MÃQUINA (ENCERADEIRA) ELÃTRICA, SE NECESSÃRIO E PERMITIDO. RECOLHER LIXO E RESÃDUO GERADO, FAZENDO DEVIDO DESCARTE.
LOCAL: CCL 08</t>
  </si>
  <si>
    <t>LIMPEZA ROTINEIRA DE PISO EM SALAS OPERACIONAIS. VARRER, PASSAR PANO ÃMIDO, LIMPAR VIDRO, RETIRAR TEIAS DE
ARANHA. REALIZAR LIMPEZA PESADA COM USO DE MÃQUINA (ENCERADEIRA) ELÃTRICA, SE NECESSÃRIO E PERMITIDO.
RECOLHER LIXO E RESÃDUO GERADO, FAZENDO DEVIDO DESCARTE.
LOCAL: CCL 09</t>
  </si>
  <si>
    <t>LIMPEZA ROTINEIRA DE PISO EM SALAS OPERACIONAIS. VARRER, PASSAR PANO ÃMIDO, LIMPAR VIDRO, RETIRAR TEIAS DE ARANHA. REALIZAR LIMPEZA PESADA COM USO DE MÃQUINA (ENCERADEIRA) ELÃTRICA, SE NECESSÃRIO E PERMITIDO. RECOLHER LIXO E RESÃDUO GERADO, FAZENDO DEVIDO DESCARTE.
LOCAL: CCL 17</t>
  </si>
  <si>
    <t>U-0023, U-0024, U-0025,U-0043, U-0047, U-0121, U-0123, U-0125, U-0136, U-0221, U-0223,(PRE CLORAÇÃO) U-0423, U-0523, 0003-F-0003: REALIZAR CAPINA E LIMPEZA DE AREA E CANALETAS, COM USO DE FERRAMENTAS MANUAIS, QUEROSENE, DESENGRAXANTE. COM APOIO DE CAMINHAO VACUO, GUINDASTE, EMPILHADEIRA, CAMINHAO MUNCK E BOMBA PNEUMATICA.</t>
  </si>
  <si>
    <t xml:space="preserve">0423-K-0001B - Realizar instalação de pás no ventilador com uso de ferramentas manuais.
</t>
  </si>
  <si>
    <t>PT 07: TRANSPORTAR BANCO DE BATERIA E RETIFICADOR PROVISÓRIO COM APOIO DE EMPILHADEIRA. MONTAGEM DE BANCO BATERIA E RETIFICADOR PROVISORIOS, LANCAMENTO TESTE E CONEXÕES DE CABOS RETIFICADOR BANCO DE BATERIA, GAVETA (7.1 do 07-PN-02 - LADO B DO PAINEL - 440V)E  PARA O PAINEL AUXULIAR 125 VCC( 07-PN-06) - DISJUNTOR DE INTERLIGAÇÃO. COM APOIO FERRAMENTAS MANUAIS.</t>
  </si>
  <si>
    <t>0047-P-0037A/B: REALIZAR PINTURA DAS LINHAS DE SODA NA REGIÃO DOS DIQUES E RECEBIMENTO DE PRODUTO QUIMICO, COM USO DE FERRAMENTAS MANUAIS.</t>
  </si>
  <si>
    <t>01-PLE-01: REVISAR CIRCUITO DE COMANDO EMERGÊNCIA E NORMAL/FOTO CÉLULA. COM USO DE FERRAMENTAS MANUAIS.</t>
  </si>
  <si>
    <t>0121-AT-0004E: iNSTALAÇÃO DO MEDIDOR DE PARTICULADO, TRABALHO COM USO DE FERRAMENTAS MANUAIS E MULTÍMETRO - INSPEÇÃO VISUAL MANUAL DO ANALISADOR, REPOSIÇÃO DE COMPONENTES, TRABALHO REALIZADO EM DUPLA.</t>
  </si>
  <si>
    <t>4160- PN- 54: Revisar sistema de SDAI; Apoio de escada portátil e ferramentas manuais.</t>
  </si>
  <si>
    <t>4000- PN- 52: Revisar sistema de SDAI; Apoio de escada portátil e ferramentas manuais.</t>
  </si>
  <si>
    <t>121- UPS- 02A: Revisar sistema de ventilação da UPS; Apoio de ferramentas manuais.</t>
  </si>
  <si>
    <t>U-0047: REALIZAR MONTAGEM, MODIFICAÇÃO E DESMONTAGEM DE ANDAIME EM APOIO AO SERVIÇO DE PINTURA DAS LINHAS DE PRODUTO QUÍMICO, COM USO DE FERRAMENTAS MANUAIS E APOIO DE CAMINHÃO PARA TRANSPORTE DE MATERIAIS.</t>
  </si>
  <si>
    <t>47-P-1101A: REALIZAR MONTAGEM, MODIFICAÇÃO E DESMONTAGEM DE ANDAIME (BANCADA/PAU DE CARGA), COM USO DE FERRAMENTAS MANUAIS E APOIO DE CAMINHÃO PARA TRANSPORTE DE MATERIAIS.</t>
  </si>
  <si>
    <t>31- HS-02(31-PN-42): Revisar central, testar funcionamento e substituir detector de fumaça, com as atividades de interligação de cabos, desmontagem/montagem de eletroduto e suportes; Apoio de furadeira elétrica, escada portátil e ferramentas manuais.</t>
  </si>
  <si>
    <t>REALIZAR COLETA DE ÓLEO MINERAL ISOLANTE DOS TRAFOS 207-TF-01, 207-TF-02, COM APOIO DE FERRAMENTAS MANUAIS</t>
  </si>
  <si>
    <t>00-BT-03 (PREV. TRIMESTRAL): REALIZAR MANUTENÇÃO PREVENTIVA NOS BANCOS DE BATERIAS, COM ATIVIDADES DE INSPEÇÃO DE ELEMENTOS, REPOSIÇÃO DO NÍVEL DE ELETRÓLITO, MEDIÇÕES E LIMPEZA DE POLOS. UTILIZAÇÃO DE FERRAMENTAS MANUAIS E MULTÍMETRO.</t>
  </si>
  <si>
    <t>0221-AT-05004 MANUTENÇÃO PREVENTIVA ANALISADOR DE PH DA COGERAÇÃO.
USO DE FERRAMENTAS MANUAIS E MULTÍMETRO ¿ LIMPEZA, TROCA DE COMPONENTES CONSUMÍVEIS, AVALIAÇÃO DA
INTEGRIDADE DO EQUIPAMENTO E SEUS PERIFÉRICOS, INSPEÇÃO DO SISTEMAS DE AMOSTRAGEM, TOMADAS DE AMOSTRAS,
SISTEMA DE CONDICIONAMENTO DE AMOSTRAS, DESCARTE DE AMOSTRA E SISTEMA DE MEDIÇÃO.
CALIBRAÇÃO COM USO DE SOLUÇÃO PADRÃO, AJUSTE DE PRESSÃO E VAZÃO, LEITURA E INTERPRETAÇÃO DE INFORMAÇÕES
VIA IHM, AVALIAÇÃO DE TRANSMISSÃO DE SINAL PARA SDCD.</t>
  </si>
  <si>
    <t>0221-AT-05003 MANUTENÇÃO PREVENTIVA NO ANALISADOR CONDUTIVIMETRO.
USO DE FERRAMENTAS MANUAIS E MULTÍMETRO, LIMPEZA, TROCA DE COMPONENTES CONSUMÍVEIS, AVALIAÇÃO DA
INTEGRIDADE DO EQUIPAMENTO E SEUS PERIFÉRICOS, INSPEÇÃO DO SISTEMAS DE AMOSTRAGEM, TOMADAS DE AMOSTRAS,
SISTEMA DE CONDICIONAMENTO DE AMOSTRAS, DESCARTE DE AMOSTRA E SISTEMA DE MEDIÇÃO.
CALIBRAÇÃO COM USO DE SOLUÇÃO PADRÃO, AJUSTE DE PRESSÃO E VAZÃO, LEITURA E INTERPRETAÇÃO DE INFORMAÇÕES
VIA IHM, AVALIAÇÃO DE TRANSMISSÃO DE SINAL PARA SDCD</t>
  </si>
  <si>
    <t>REALIZAR COLETA DE ÓLEO MINERAL ISOLANTE DOS TRAFOS 208-TF-03, 208-TF-04, COM APOIO DE FERRAMENTAS MANUAIS.</t>
  </si>
  <si>
    <t>4160-BT-02 (PREV. ANUAL): REALIZAR MANUTENÇÃO PREVENTIVA NOS BANCOS DE BATERIAS, COM ATIVIDADES DE INSPEÇÃO DE ELEMENTOS, REPOSIÇÃO DO NÍVEL DE ELETRÓLITO, MEDIÇÕES E LIMPEZA DE POLOS. UTILIZAÇÃO DE FERRAMENTAS MANUAIS E MULTÍMETRO</t>
  </si>
  <si>
    <t>4150-BT-01 (PREV. SEMESTRAL): REALIZAR MANUTENÇÃO PREVENTIVA NOS BANCOS DE BATERIAS, COM ATIVIDADES DE INSPEÇÃO DE ELEMENTOS, REPOSIÇÃO DO NÍVEL DE ELETRÓLITO, MEDIÇÕES E LIMPEZA DE POLOS. UTILIZAÇÃO DE FERRAMENTAS MANUAIS E MULTÍMETRO.</t>
  </si>
  <si>
    <t xml:space="preserve"># FECHAR EQUIPAMENTO
</t>
  </si>
  <si>
    <t>UN-0121 - INSPEÇÃO VISUAL FOTOCÉLULAS E CÂMERAS 0121-F-0001B.</t>
  </si>
  <si>
    <t>0125-Z-002: REALIZAR RETIRA DE BIG BAG'S, COM USO DE FERRAMENTAS MANUAIS E APOIO DE MAQUINA DE CAMPO PARA TRANSPORTE DE MATERIAIS.</t>
  </si>
  <si>
    <t>UN-0043 (GALPÃO) - SUBSTITUIR PI SUCÇÃO DA BOMBA 0043-MP-0001C, COM USO DE FERRAMENTS MANUAIS.</t>
  </si>
  <si>
    <t>223-PN-01 QUADRO ILUMINAÇÃO 223-PL-01: REVISAR QUADRO DE ILUMINAÇÃO. COM USO DE FERRAMENTAS MANUAIS.</t>
  </si>
  <si>
    <t>u123: REALIZAR DESMONTAGEM DE ANDAIME, COM USO DE FERRAMENTAS MANUAIS E APOIO DE CAMINHÃO PARA TRANSPORTE DE MATERIAIS.</t>
  </si>
  <si>
    <t>UN-0043 (GALPÃÂO) - SUBSTITUIR MANÔMETRO SUCÇÃO DA BOMBA 0043-MP-0001A, COM USO DE FERRAMENTAS MANUAIS.</t>
  </si>
  <si>
    <t>UN-0125 - 0125-Z-0001A VERIFICAR ALARME LP(BAIXA PRESSÃO), COM USO DE FERRAMENTAS MANUAIS.</t>
  </si>
  <si>
    <t>0023-MZ-0001/0002: REALIZAR APOIO DE CALDEIRARIA, COM USO DE FERRAMENTAS MANUAIS, APOIO DE FERRAMENTAS ABRASIVAS, CORTE E SOLDA, APOIO DE ELÉTRICA, CAMINHÃO PARA TRANSPORTE E GUINDASTE.</t>
  </si>
  <si>
    <t>UT - PT-00
EXECUCAO DE DEMOLICAO, FORMA, ARMACAO, CONCRETAGEM, ATERRO, ESCAVACAO MECÃNICA E/OU MANUAL. COM USO DE FERRAMENTAS DE MANUAIS, GERADOR A GASOLINA, COMPACTADOR ÃÂ GASOLINA, MOTOR VIBRADOR A GASOLINA, FURADEIRA ELETRICA, MARTELETE ELETRICO E PNEUMATICO. APOIO DE CAMINHÃO MUNCK, RETROESCAVADEIRA, ELETRICISTA, TOPOGRAFIA E ANDAIME.</t>
  </si>
  <si>
    <t>"LIMPEZA ROTINEIRA DE PISO EM SALAS OPERACIONAIS. VARRER, PASSAR PANO ÚMIDO, LIMPAR VIDRO, RETIRAR TEIAS DE ARANHA. REALIZAR LIMPEZA PESADA COM USO DE MÁQUINA (ENCERADEIRA) ELÉTRICA, SE NECESSÁRIO E PERMITIDO.RECOLHER LIXO E RESÍDUO GERADO, FAZENDO DEVIDO DESCARTE.
LOCAL: CCL 18</t>
  </si>
  <si>
    <t>"LIMPEZA ROTINEIRA DE PISO EM SALAS OPERACIONAIS. VARRER, PASSAR PANO ÚMIDO, LIMPAR VIDRO, RETIRAR TEIAS DE
ARANHA. REALIZAR LIMPEZA PESADA COM USO DE MÁQUINA (ENCERADEIRA) ELÉTRICA, SE NECESSÁRIO E PERMITIDO.
RECOLHER LIXO E RESÍDUO GERADO, FAZENDO DEVIDO DESCARTE.
LOCAL: CCL 24</t>
  </si>
  <si>
    <t>UN-0123 - 0123-TP-0001A REVISAR SOLENOIDES, COM USO DE FERRAMENTAS MANUAIS.</t>
  </si>
  <si>
    <t>UN-0123 -  0123-TG-0001B - APOIO A PARTIDA - CALIBRAR / SUBSTITUIR INSTRUMENTOS.</t>
  </si>
  <si>
    <t>121-E-0003A: REALIZAR APOIO DE CORTE PARA REMOÇÃO DO FEIXE, COM USO DE FERRAMENTAS MANUAIS, ABRASIVAS E APOIO DE ELETRICA.</t>
  </si>
  <si>
    <t xml:space="preserve"> 0121-E-0003A: REALIZAR A REMOÇÃO DE FEIXE E COMPONENTES, COM USO DE FERRAMENTAS MANUAIS E APOIO DE MAQUINA DE CAMPO PARA TRANSPORTE DE MATERIAIS.</t>
  </si>
  <si>
    <t xml:space="preserve">07-PN-08 PREVENTIVA RETIFICADOR COM ATIVIDADE LIMPEZA E REAPERTO; COM APOIO ASPIRADOR DE PÓ E FERRAMENTAS MANUAIS </t>
  </si>
  <si>
    <t>07-PN-08 PREVENTIVA RETIFICADOR COM ATIVIDADE  TESTE E AJUSTE COM APOIO DE FERRAMENTAS MANUAIS.</t>
  </si>
  <si>
    <t xml:space="preserve">0123-MP-0002A - INSTALAR MOTOR COM APOIO DE MAQUINA E USO DE FERRAMENTAS MANUAIS.
</t>
  </si>
  <si>
    <t>CCL- 10(4100-PN- 01): Realizar a fixação do sensor de detecção de fumaça; Apoio de furadeira elétrica, escada portátil e ferramentas manuais.</t>
  </si>
  <si>
    <t>121-TU-1007 PQT61351: REALIZAR MONTAGEM, MODIFICACAO E DESMONTAGEM DE ANDAIME (ESCADA/TUBOVIA), COM USO DE FERRAMENTAS MANUAIS E APOIO DE CAMINHAO PARA TRANSPORTE DE MATERIAIS E APOIO DE ELETRICA.</t>
  </si>
  <si>
    <t>0123-TP-0001B: REALIZAR REMOcao DE RAQUETES, COM USO DE FERRAMENTAS MANUAIS.</t>
  </si>
  <si>
    <t>UT - PT-00
EXECUCAO DE DEMOLICAO, FORMA, ARMACAO, CONCRETAGEM, ATERRO, ESCAVACAO MECÃƒNICA E/OU MANUAL. COM USO DE FERRAMENTAS DE MANUAIS, GERADOR A GASOLINA, COMPACTADOR  GASOLINA, MOTOR VIBRADOR A GASOLINA, FURADEIRA ELETRICA, MARTELETE ELETRICO E PNEUMATICO. APOIO DE CAMINHAO MUNCK, RETROESCAVADEIRA, ELETRICISTA, TOPOGRAFIA E ANDAIME.</t>
  </si>
  <si>
    <t>121-E-0003A: REALIZAR APOIO DE MONTAGEM, MODIFICACAO E DESMONTAGEM DE ANDAIME, COM USO DE FERRAMENTAS MANUAIS E APOIO DE CAMINHAO PARA TRANSPORTE DE MATERIAIS.</t>
  </si>
  <si>
    <t xml:space="preserve">UT-47/121/123/136: REALIZAR LIMPEZA DE ÁREA ( ESTÃO COBERTAS AS ATIVIDADES DE limpeza de PISO, CANALETAS, PLATAFORMAS, TAG´S, BASES DE EQUIPAMENTOS, SKIDS e BOMBAS. TAMBÉM SERÁ FEITA CAPINA E REMOÇÃO DE VEGETAÇÃO), COM FERRAMENTAS MANUAIS, JATO D'ÀGUA, VAPOR e USO DE DESENGRAXANTE, APOIO DE CAMINHÃO A VÁCUO, GUINDASTE, EMPILHADEIRA E CAMINHÃO PARA TRANSPORTE DE MATERIAIS. </t>
  </si>
  <si>
    <t>UT: REALIZAR DESMONTAGEM DE ANDAIME, COM USO DE FERRAMETNAS MANUAIS E APOIO DE CAMINHÃO PARA TRANSPORTE DE MATERIAIS.</t>
  </si>
  <si>
    <t>125-Z-01AB: REALIZAR FABRICACAO DA LINHA, COM USO DE FERRAMENTAS MANUAIS E APOIO DE CAMINHÃO PARA RETIRADA DO MATERIAL REFERENTE A U121.</t>
  </si>
  <si>
    <t xml:space="preserve">PT 07: TRANSPORTAR BANCO DE BATERIA E RETIFICADOR PROVISÓRIO COM APOIO DE EMPILHADEIRA PT PARA GALPÃO DO EI, DESCONECTAR E RETIRAR CABOS DO RETIFICADOR, BANCO DE BATERIA PROVISÓRIO E PAINEL AUXILIAR 125 VCC( 07-PN-06); COM APOIO DE FERRAMENTAS MANUAIS </t>
  </si>
  <si>
    <t xml:space="preserve">0423-K-0001B - Realizar balanceamento dinâmico do ventilador com uso de ferramentas manuais.
</t>
  </si>
  <si>
    <t>4010- PN- 47: Revisar sinal de alarme de detecção de fumaça; Apoio de ferramentas manuais.</t>
  </si>
  <si>
    <t xml:space="preserve">0123-MP-0002A - INSTALAR MOTOR E BOMBA COM APOIO DE MAQUINA E USO DE FERRAMENTAS MANUAIS.
</t>
  </si>
  <si>
    <t>123-TP- 01B: 123- TP-01B: Revisar/reparar eletrodutos(apoio para IBRAV); Apoio de furadeira elétrica e ferramentas manuais.</t>
  </si>
  <si>
    <t>REALIZAR INSPEÇÃO INTERNA E EXTERNA NO EQUIPAMENTO.</t>
  </si>
  <si>
    <t>121-PN- 16C: Colar borracha de vedação do painel; Apoio de ferramentas manuais.                                                                                        ##### PARA HOJE NO TURNO DA NOITE #######</t>
  </si>
  <si>
    <t>423-K-01B: REALIZAR PREPARAÇÃO E PINTURA REFERENTE AO CONJUNTO DO VENTILADOR, COM USO DE FERRAMENTAS MANUAIS.</t>
  </si>
  <si>
    <t>0121-AT-0061A INSPEÇÃO E ORGANIZAÇÃO DA ÁREA PARA REINSTALAÇÃO DO
ANALISADOR, COM USO DE FERRAMENTAS MANUAIS E MULTÍMETRO - INSPEÇÃO VISUAL DO ANALISADOR.</t>
  </si>
  <si>
    <t>423-K-0001B: REALIZAR SOLDAGEM REFERENTE AO CONJUNTO DOS VENTILADORES, COM USO DE FERRAMENTAS MANUAIS, CORTE E SOLDA, INSPEÇÃO DE END'S E APOIO DE ELETRICA.</t>
  </si>
  <si>
    <t xml:space="preserve">07-PN-08 - AJUSTE E TESTES. COM USO DE FERRAMENTAS MANUAIS.
</t>
  </si>
  <si>
    <t>UN-0221 - 0121-PT-0802A: REMOVER / SUBSTITUIR /LOOP TESTE, COM USO DE FERRAMENTAS MANUAIS.</t>
  </si>
  <si>
    <t xml:space="preserve">UN-0123 - APOIO A PARTIDA - CALIBRAR / SUBSTITUIR INSTRUMENTOS.
</t>
  </si>
  <si>
    <t>47-TU-1001 PQT 989: REALIZAR INSTALAÇÃO DE ABRAÇADEIRA LINHA DE AGUA, COM USO DE FERRAMENTAS MANUAIS E APOIO DE ANDAIME PARA ACESSAR O VAZAMENTO.</t>
  </si>
  <si>
    <t>UN-0121 - 0121-PT-0802A: REMOVER / CALIBRAR / SUBSTITUIR TRANSMISSOR / LOOPTEST, COM USO DE FERRAMENTAS MANUAIS.</t>
  </si>
  <si>
    <t>UT - PT-00
EXECUCAO DE DEMOLICAO, FORMA, ARMACAO, CONCRETAGEM, ATERRO, ESCAVACAO MECANICA E/OU MANUAL. COM USO DE FERRAMENTAS DE MANUAIS, GERADOR A GASOLINA, COMPACTADOR  GASOLINA, MOTOR VIBRADOR A GASOLINA, FURADEIRA ELETRICA, MARTELETE ELETRICO E PNEUMATICO. APOIO DE CAMINHAO MUNCK, RETROESCAVADEIRA, ELETRICISTA, TOPOGRAFIA E ANDAIME.</t>
  </si>
  <si>
    <t>0121-E-0003A: APOIO DE CALDEIRARIA E COMPLEMENTAR PARA LIMPEZA INTERNA E EXTENA  (HIDROJATO) DO TROCADOR  COM USO DE FERRAMENTAS MANUAIS E APOIO DE MAQUINA DE CAMPO PARA TRANSPORTE.</t>
  </si>
  <si>
    <t>PT-17(17- PN- 38/SDAI): Realizar a fixação de suportes e eletrodutos; Apoio de furadeira elétrica, escada portátil e ferramentas manuais.</t>
  </si>
  <si>
    <t>PT-17: REVISAR CIRCUITO DE ILUMINAÇÃO COM ATIVIDADES DE TROCA DE LÂMPADAS,LUMINÁRIAS E REATORES, COM APOIO DE  ESCADA PORTÁTIL E FERRAMENTAS MANUAIS.</t>
  </si>
  <si>
    <t xml:space="preserve">REALIZAR INSPEÇÃO INTERNA E EXTERNA , PREPARACAO E PINTURA NO EQUIPAMENTO.
</t>
  </si>
  <si>
    <t>2410-V-01A: REALIZAR MANUTENÇÃO DE VALVULAS REFERENTE AO VASO, COM USO DE FERRAMENTAS MANUAIS.</t>
  </si>
  <si>
    <t xml:space="preserve">0047-P-0049C - Sanar vazamento e substituir braçadeiras com uso de ferramentas manuais.
</t>
  </si>
  <si>
    <t>0423-K-0001B: REALIZAR DESMONTAGEM DE ANDAIME, COM USO DE FERRAMENTAS MANUAIS E APOIO DE CAMINHÃO PARA TRANSPORTE DE MATERIAIS.</t>
  </si>
  <si>
    <t xml:space="preserve">REALIZAR SUBSTITUIÇÃO DE MADEIRAS, VENEZIANAS E TELHAS DANIFICADAS COM USO DE FERRAMENTAS
MANUAIS, ELETRICAS E MECÂNICAS. </t>
  </si>
  <si>
    <t>123-MP-0002A: REALIZAR A PREPARAÇÃO E PINTURA DA BASE, COM USO DE FERRAMENTAS MANUAIS.</t>
  </si>
  <si>
    <t>REALIZAR INSPEÇÃO, PREPARACAO E PINTURA NO EQUIPAMENTO.</t>
  </si>
  <si>
    <t xml:space="preserve">0210-PI-0707: MANUTENÇÃO PREVENTIVA CONFORME NR-13, COM USO DE FERRAMENTAS MANUAIS.
</t>
  </si>
  <si>
    <t>0210-PI-0761: MANUTENÇÃO PREVENTIVA CONFORME NR-13, COM USO DE FERRAMENTAS MANUAIS.</t>
  </si>
  <si>
    <t>0310-LT-0901B REVISAR INDICAÇÃO / RESSELAR FORA, COM USO DE FERRAMENTAS MANUAIS.</t>
  </si>
  <si>
    <t>0310-LT-0901A - REVISAR INDICAÇÃO / RESSELAR FORA, COM USO DE FERRAMENTAS MANUAIS.</t>
  </si>
  <si>
    <t xml:space="preserve">UN-0310 - 0310-LT-0901A: REVISAR INDICAÇÃO / RESSELAR FORA, COM USO DE FERRAMENTA MANUAIS.
</t>
  </si>
  <si>
    <t xml:space="preserve">UN-0310 - 0310-LT-0901B: REVISAR INDICAÇÃO / RESSELAR FORA, COM USO DE FERRAMENTAS MANUAIS.
</t>
  </si>
  <si>
    <t>513-C-02 
REALIZAR ABERTURA / FECHAMENTO DE BV´S DA TORRE, COM USO DE FERRAMENTAS MANUAIS.</t>
  </si>
  <si>
    <t>FE-222250602: APOIO DE CALDERARIA PARA REALIZAR BERTURA E FECHAMENTOI DE FLANGE/RAQUETEAR, COM USO DE FERRAMENTAS MANUAIS</t>
  </si>
  <si>
    <t>PARADA U0513
0513-C-0002: REALIZAR APOIO ELETRICISTA PARA INSTALACAO DE EQUIPAMENTOS PARA A PARADA DA UNIDADE, COM USO DE FERRAMENTAS MANUAIS E ELETRICAS. APOIO DE MAQUINA DE CAMPO.</t>
  </si>
  <si>
    <t xml:space="preserve">0323-TP-0001A - REALIZAR A INSTALAÇÃO DA TURBINETA COM USO DE FERRAMENTAS MANUAIS, USO DE TALHA MANUAL E APOIO DE MAQUINA DE CAMPO/EMPILHADEIRA. 
</t>
  </si>
  <si>
    <t xml:space="preserve">0310-P-0003B - REALIZAR MANUTENÇÃO, REMOÇÃO/INSTALAÇÃO DE PERIFERICOS E SUBSTITUIÇÃO DE SELO MECANICO COM USO DE FERRAMENTAS MANUAIS, TALHA MANUAUL E MAQUINA DE CAMPO.
</t>
  </si>
  <si>
    <t>U-413:  REVISAR CIRCUITO DE ILUMINAÇÃO COM ATIVIDADES DE TROCA DE LÂMPADAS,LUMINÁRIAS E REATORES, COM APOIO DE ESCADA PORTÁTIL E FERRAMENTAS MANUAIS.</t>
  </si>
  <si>
    <t>0210-E-0010A Instalar luminária sobre amostrador de diesel tratado na U-210; COM APOIO DE  ESCADA PORTÁTIL E FERRAMENTAS MANUAIS.</t>
  </si>
  <si>
    <t>0210-PT-0129: MANUTENÇÃO PREVENTIVA CONFORME NR-13, COM USO DE FERRAMENTAS MANUAIS</t>
  </si>
  <si>
    <t>0210-PT-0141: MANUTENÇÃO PREVENTIVA CONFORME NR-13, COM USO DE FERRAMENTAS MANUAIS.</t>
  </si>
  <si>
    <t>210-PT-0146: MANUTENÇÃO PREVENTIVA CONFORME NR-13, COM USO DE FERRAMENTAS MANUAIS.</t>
  </si>
  <si>
    <t>0306-PI-0135 (306-P-09B):: SUBSTITUIR MANÔMETRO NR-13, COM USO DE FERRAMENTAS MANUAIS.</t>
  </si>
  <si>
    <t>0306-P-11A/B (NR-13): SUBSTITUIR MANÔMETRO DA SUCÇÃO, COM USO DE FERRAMENTAS MANUAIS.</t>
  </si>
  <si>
    <t xml:space="preserve">0206-PI-1108: MANUTENÇÃO PREVENTIVA CONFORME NR-13, COM USO DE FERRAMENTAS MANUAIS.
</t>
  </si>
  <si>
    <t>UN-206 - INSPEÇÃO VISUAL PRÉ PARADA CONFORME LISTA.</t>
  </si>
  <si>
    <t xml:space="preserve">PT-215 (206-MK-01)
REALIZAR DESMONTAGEM DE ANDAIME, COM USO DE FERRAMENTAS MANUAIS E APOIO DE CAMINHAO PARA TRANSPORTE DE MATERIAL.
</t>
  </si>
  <si>
    <t>0513-E-0003
INSTALAÇÃO DE RAQUETE COM USO DE FERRAMENTAS MANUAIS NOS SEGUINTES PONTOS.
1714 MONTANTE DA CHECK A JUSANTE DA 0513-FV-0006
1715 MONTANTE DA INTERLIGACAO DA 0513-FV-0006 COM O 0513-V-0004
1716 FLANGE DA LINHA DE SÁIDA DOS TUBOS DO 0513-E-0003 (OBS: INSTALAR A RAQUETE NO 1º MOMENTO E SUBSTITUIR POR
FLANGE CEGO APÓS A REMOÇÃO DO CARRETEL)
1718 FLANGE DA LINHA DE ENTRADA DO CASCO
1717 FLANGE A MONTANTE DO BLOQUEIO DE SAIDA DO CASCO.</t>
  </si>
  <si>
    <t>513-C-02: REALIZAR APOIO ELETRICISTA PARA APOIO `A PARADA DA UNIDADE, COM USO DE FERRAMENTAS MANUAIS , ELETRICAS E MAQUINA DE CAMPO.</t>
  </si>
  <si>
    <t>UN-0310 - 310-K-0002A: AJUSTE SENS. KEYFASOR,  COM USO DE FERRAMENTAS MANUAIS.</t>
  </si>
  <si>
    <t>PRE-PARADA U513
REALIZAR MONTAGEM, MODIFICACAO E DESMONTAGEM DE ANDAIME, COM USO DE FERRAMENTAS MANUAIS E APOIO DE CAMINHAO PARA TRANSPORTE DE MATERIAL. 
0513-C-0002
0513-E-0006
0513-E-0003</t>
  </si>
  <si>
    <t>PRE-PARADA
0513-E-0006
INSTALAÇÃO DE RAQUETE COM USO DE FERRAMENTAS MANUAIS NOS SEGUINTES PONTOS.</t>
  </si>
  <si>
    <t>513-C-02: REALIZAR APOIO ELETRICISTA PARA APOIO A PARADA DA UNIDADE, COM USO DE FERRAMENTAS MANUAIS, ELETRICAS E MAQUINA DE CAMPO.</t>
  </si>
  <si>
    <t>0513-C-0002 U513 
REALIZAR MONTAGEM DE LIXODUTO NA TORRE, COM USO DE FERRAMENTAS MANUAIS.</t>
  </si>
  <si>
    <t>0310-XV-0508B; REALIZAR APOIO DE CALDEIRARIA, PARA INSTALAÇÃO DE CHECK VALVULA, COM USO DE FERRAMENTAS MANUAIS.</t>
  </si>
  <si>
    <t>0513-C-0002
APOIO DE CALDERARIA PARA REMOVER PARAFUSO DO BOCAL 6"- ENTRADA DE CARGA, COM USO DE FERRAMENTAS MANUAIS, COM CORTE , SOLDA E ESMERILHAMENTO, APOIO DE ELETRICA.</t>
  </si>
  <si>
    <t xml:space="preserve">0206-XV-0036 REAPERTO DE GAXETA COM USO DE FERRAMENTAS MANUAIS.
</t>
  </si>
  <si>
    <t>409-KV-793 E 409-KV-794
0409-KV-0793 TROCAR FURO DO LINK, COM USO DE FERRAMENTAS MANUAIS.
0409-KV-0794 TROCAR SPOOL / POSICIONAR, COM USO DE FERRAMENTAS MANUAIS</t>
  </si>
  <si>
    <t xml:space="preserve">AIT-222250001: MANUTENÇÃO PREVENTIVA NO ANALISADOR, COM USO DE FERRAMENTAS MANUAIS E MULTÍMETRO - INSPEÇÃO
VISUAL DO ANALISADOR, INSPEÇÃO DO SISTEMAS DE AMOSTRAGEM, TOMADAS DE AMOSTRAS, SISTEMA DE CONDICIONAMENTO
DE AMOSTRAS, DESCARTE DE AMOSTRA E SISTEMA DE MEDIÇÃO, CALIBRAÇÃO COM USO DE GÁS PADRÃO, AJUSTE DE
PRESSÃO E VAZÃO, LEITURA E INTERPRETAÇÃO DE INFORMAÇÕES VIA IHM, AVALIAÇÃO DE TRANSMISSÃO DE SINAL PARA
SDCD, REMOÇÃO E INSTALAÇÃO DOS FILTROS ÓPTICOS, DO DEMISTER E DO EJETOR PARA LIMPEZA;
</t>
  </si>
  <si>
    <t>323- MK- 01C: Revisar circuito de comando via SDCD; Apoio de ferramentas manuais.                                          ####### PARA HOJE NO TURNO DA NOITE ####</t>
  </si>
  <si>
    <t>AIT-222250001 H2S/SO2: MANUTENÇÃO PREVENTIVA NO ANALISADOR, COM USO DE FERRAMENTAS MANUAIS E MULTÍMETRO - INSPEÇÃO VISUAL DO ANALISADOR, INSPEÇÃO DO SISTEMAS DE AMOSTRAGEM, TOMADAS DE AMOSTRAS, SISTEMA DE CONDICIONAMENTO DE AMOSTRAS, DESCARTE DE AMOSTRA E SISTEMA DE MEDIÇÃO, CALIBRAÇÃO COM USO DE GÁS PADRÃO, AJUSTE DE PRESSÃO E VAZÃO, LEITURA E INTERPRETAÇÃO DE INFORMAÇÕES VIA IHM, AVALIAÇÃO DE TRANSMISSÃO DE SINAL PARA SDCD, REMOÇÃO E INSTALAÇÃO DOS FILTROS ÓPTICOS, DO DEMISTER E DO EJETOR PARA LIMPEZA;</t>
  </si>
  <si>
    <t xml:space="preserve">0323-TP-0001A - REALIZAR A REMOÇÃO DA TURBINETA COM USO DE FERRAMENTAS MANUAIS, USO DE TALHA MANUAL E APOIO DE MAQUINA DE CAMPO/EMPILHADEIRA. 
</t>
  </si>
  <si>
    <t xml:space="preserve">UN-0409:
0409-KV-0793 TROCAR FURO DO LINK
0409-KV-0794 TROCAR SPOOL / POSICIONAR
COM USO DE FERRAMENTA MANUAIS.
</t>
  </si>
  <si>
    <t>CIC/HDT: SUBSTITUIR MOUSE DO CONSOLE DA UHDT, COM USO DE FERRAMENTAS MANUAIS.</t>
  </si>
  <si>
    <t xml:space="preserve">PRE PARADA U513
0513-C-0002
0513-E-0003
0513-E-0006
APOIO DE CALDEIRARIA PARA REMOCAO DE 80% DOS PARAFUSOS DO PLANO DE RAQUETEAMENTO, PONTOS DE ABERTURA
DOS PERMUTADORES E BV'S COM USO DE FERRAMENTAS MANUAIS.
OBS: PARA FLANGES DE ATÉ 12" DEIXAR 4 PARAFUSOS CRUZADOS E ACIMA DEIXAR 8 PARAFUSOS CRUZADOS
******ATENCAO: ESSA PT NAO CONTEMPLA A ABERTURA DO EQUIPAMENTO***********
</t>
  </si>
  <si>
    <t>FE-222250602:REALIZAR MONTAGEM, MODIFICACAO  E DESMONTAGEM DE ANDAIME, COM USO DE FERRAMENTAS  MANUAIS E APOIO DE CAMINHAO PARA TRANSPORTE DE MATERIAL</t>
  </si>
  <si>
    <t xml:space="preserve"> 513-P-03A: REALIZAR DESMONTAGEM DE ANDAIME, COM USO DE FERRAMENTAS MANUAIS E  APOIO DE CAMNHAO PARA TRANSPORTE DE MATERIAL</t>
  </si>
  <si>
    <t xml:space="preserve">513-C-02: REALIZAR APOIO ELETRICISTA PARA APOIO `A PARADA DA UNIDADE, COM USO DE FERRAMENTAS MANUAIS , ELETRICAS E MAQUINA DE CAMPO.
</t>
  </si>
  <si>
    <t>PRÉ PARADA U513
REALIZAR MONTAGEM, MODIFICACAO E DESMONTAGEM DE ANDAIME, COM USO DE FERRAMENTAS MANUAIS E APOIO DE CAMINHAO PARA TRANSPORTE DE MATERIAL. 
0513-C-0002
0513-E-0006
0513-E-0003</t>
  </si>
  <si>
    <t>210-F-01 REALIZAR PREVENTIVA DE QUEIMADORES, COM USO DE FERRAMENTAS MANUAIS.</t>
  </si>
  <si>
    <t>409-F-02: REALIZAR PREVENTIVA DE QUEIMADORES, COM USO DE FERRAMENTAS MANUAIS</t>
  </si>
  <si>
    <t>513-C-02
APOIO DE CALDERARIA PARA REMOÇÃO/INSTALAÇÃO DE PARTE DO GUARDA-CORPO PARA INSTALAÇAO DO LIXODUTO, COM USO DE FERRAMENTAS MANUAIS, COM CORTE , SOLDA E ESMERILHAMENTO, APOIO DE ELETRICA.</t>
  </si>
  <si>
    <t xml:space="preserve">0323-PSV-0073 INSTALAR PSV COM USO FERRAMENTAS MANUAIS.
</t>
  </si>
  <si>
    <t xml:space="preserve">0310-PT-0060 SANAR VAZAMENTO BLOQUEIO, COM USO DE FERRAMENTAS MANUAIS.
</t>
  </si>
  <si>
    <t xml:space="preserve">0310-ME-0009A - REALIZAR PREVENTIVA MECANICA COM USO DE FERRAMENTAS MANUAIS. 
</t>
  </si>
  <si>
    <t xml:space="preserve">0206-ME-0014B - REALIZAR A SUBSTITUIÇÃO DA CORREIA MECANICA COM USO DE FERRAMENTAS MANUAIS. 
</t>
  </si>
  <si>
    <t xml:space="preserve">0206-ME-0012C - REALIZAR A SUBSTITUIÇÃO DA CORREIA MECANICA COM USO DE FERRAMENTAS MANUAIS. 
</t>
  </si>
  <si>
    <t xml:space="preserve">0513-MP-0002A - ACOPLAR CONJUNTO, REALIZAR AJUSTE E TESTE EM CONPONENTES COM USO DE FERRAMENTAS MANUAIS.
</t>
  </si>
  <si>
    <t>0513-C-0002
REALIZAR REMOÇÃO DAS BARRAS CHATAS DO GUARDA CORPO PARA PASSAGEM DO LIXODUTO, COM USO DE FERRAMENTAS MANUAIS, CORTE E SOLDA E APOIO DE ELÉTRICA.</t>
  </si>
  <si>
    <t xml:space="preserve">UN-206 - INSPEÇÃO VISUAL PRÉ PARADA CONFORME LISTA.
</t>
  </si>
  <si>
    <t>215-PN-10(U0022EAL0022): REPARAR FALHA DE FONTE, COM USO DE FERRAMENTAS MANUAIS.</t>
  </si>
  <si>
    <t xml:space="preserve">UN-22225 - FE-222250602: DESCONECTAR / DESLIGAR INSTRUMENTO, COM USO DE FERRAMENTA MANUAIS.
</t>
  </si>
  <si>
    <t xml:space="preserve">0310-XV-0508A INSTALAR VALVULA COM USO DE FERRAMENTAS MANUAIS E APOIO DE EMPILHADEIRA. 
</t>
  </si>
  <si>
    <t xml:space="preserve">0210-LT-0061A - REVISAR INDICAÇÃO / RESSELAR DENTRO, COM USO DE FERRAMENTAS MANUAIS.
</t>
  </si>
  <si>
    <t>0209-FT-008B - REMOVER / CALIBRAR / REINSTALAR, COM USO DE FERRAMENTAS MANUAIS.</t>
  </si>
  <si>
    <t xml:space="preserve">0310-XV-0502A/B - REMOVER ATUADOR PARA REENGAXETAMENTO COM USO DE FERRAMENTAS MANUAIS.
</t>
  </si>
  <si>
    <t xml:space="preserve">0310-XV-0502A/B - REMOVER/INSTALAR ATUADOR PARA REENGAXETAMENTO COM USO DE FERRAMENTAS MANUAIS.
</t>
  </si>
  <si>
    <t>0513-C-0002: REALIZAR MONTAGEM, MODIFICACAO E DESMONTAGEM DE ANDAIME, COM USO DE FERRAMENTAS MANUAIS E APOIO DE CAMINHAO PARA TRANSPORTE DE MATERIAL. 
0513-C-0002
0513-E-0006
0513-E-0003</t>
  </si>
  <si>
    <t>PRÉ-PARADA U513
APOIO DE CALDERARIA PARA POSICIONAR RAQUETES, JUNTAS, INSTALAÇAO DE MANGUEIRAS E DISPOSITIVOS COM USO DE FERRAMENTAS MANUAIS.</t>
  </si>
  <si>
    <t>C0210-LT-61A: REALIZAR MONTAGEM , MODIFICAÇÃO E DESMONTAGEM DE ANDAIME, COM USO DE FERRAMENTAS MANUAIS E APOIO DE CAMINHAO PARA TRANSPORTE DE MATERIAL</t>
  </si>
  <si>
    <t>C REALIZAR DESMONTAGEM DE ANDAIME, COM USO DE FERRAMENTAS MANUAIS E  APOIO DE CAMNHAO PARA TRANSPORTE DE MATERIAL</t>
  </si>
  <si>
    <t>306-PT-1404: REALIZAR DESMONTAGEM DE ANDAIME, COM USO DE FERRAMENTAS MANUAIS E APOIO DE CAMINHAO PARA TRANSPORTE DE MATERIAL</t>
  </si>
  <si>
    <t>0310-XV-0502AB: REALIZAR MONTAGEM, MODIFICAÇÃO E DESMONTAGEM DE ANDAIME, COM USO DE FERRAMENTAS MANUAIS E APOIO DE CAMINHAO PARA TRANSPORTE DE MATERIAL</t>
  </si>
  <si>
    <t>513-C-02: REALIZAR ISOLAMENTO DE AREA COM PEDESTAIS E CERQUITE EM TORNO DA UNIDADE  , COM USO DE FERRAMENTAS MANUAIS.</t>
  </si>
  <si>
    <t>513-MP- 03A: Revisar aterramento da carcaça do motor; Apoio de furadeira elétrica e ferramentas manuais.</t>
  </si>
  <si>
    <t xml:space="preserve">513-C-02REALIZAR MONTAGEM, MODIFICACAO E DESMONTAGEM DE ANDAIME, COM USO DE FERRAMENTAS MANUAIS E APOIO DE CAMINHAO PARA TRANSPORTE DE MATERIAL. </t>
  </si>
  <si>
    <t>310-P-11B: APOIO DE CALDERARIA PARA REALIZAR LIMPEZA DE FILTRO SUCÇÃO, COM USO DE FERRAMENTAS MANUAIS.</t>
  </si>
  <si>
    <t xml:space="preserve">0409-V-10(PSAU409): FAZER BACKUP (IMAGEM) DA IHM, COM USO DE FERRAMENTAS MANUAIS.
</t>
  </si>
  <si>
    <t xml:space="preserve">0311-Z-3/311-LA-41: REPARAR FIBRA ÓPTICA/COMUNICAÇÃO, COM USO DE FERRAMENTAS MANUAIS.
</t>
  </si>
  <si>
    <t>UN-0310: MANUTENÇÃO PREVENTIVA EM DETECTORES DE GÁS DA UNIDADE, CONFORME LISTA, COM USO DE GASES PADRÃO E
FERRAMENTAS MANUAIS.</t>
  </si>
  <si>
    <t xml:space="preserve">0310-XV-0508B REMOVER/INSTALAR ATUADOR COM USO DE FERRAMENTAS MANUAIS.
</t>
  </si>
  <si>
    <t xml:space="preserve">0306-P-0103B - REALIZAR A PREVENTIVA MECANICA COM USO DE FERRAMENTAS MANUAIS. 
</t>
  </si>
  <si>
    <t xml:space="preserve">0310-P-0003B - REALIZAR MANUTENÇÃO, REMOÇÃO DE PERIFERICOS E SUBSTITUIÇÃO DE SELO MECANICO COM USO DE FERRAMENTAS MANUAIS, TALHA MANUAUL E MAQUINA DE CAMPO.
</t>
  </si>
  <si>
    <t xml:space="preserve">0323-TP-0001A - REALIZAR A REMOÇÃO DA TURBINETA COM USO DE FERRAMENTAS MANUAIS, USO DE TALHA MANUAL E APOIO DE MAQUINA DE CAMPO. 
</t>
  </si>
  <si>
    <t>C: REALIZAR APOIO DE CALDERARIA PARA POSICIONAR RAQUETES, JUNTAS E INSTALAÇAO DE MANGUEIRAS E DISPOSITIVOS  , COM USO DE FERRAMENTAS MANUAIS.</t>
  </si>
  <si>
    <t>310-P-03B - REALIZAR APOIO DE CALDEIRARIA , CONFORME ED,INSTALAÇÃ DE MANGUEIRAS E APOIO OPERACIONAL COM USO DE FERRAMENTAS MANUAIS</t>
  </si>
  <si>
    <t xml:space="preserve">0323-TP-01A REALIZAR MONTAGEM DE ANDAIME, COM USO DE FERRAMENTAS MANUAIS E APOIO DE CAMINHAO PARA TRANSPORTE DE MATERIAL
</t>
  </si>
  <si>
    <t>613-AT-05/014/015 Realizar Montagem de Andaime, com uso de ferramentas manuais e apoio de caminhao para transporte de materal</t>
  </si>
  <si>
    <t>310-K-0002A : REALIZAR DESMONTAGEM DE ANDAIME, COM USO DE FERRAMENTAS MANUAIS E APOIO DE CAMINHAO PARA TRANSPORTE DE MATERIAL</t>
  </si>
  <si>
    <t>409-PV-0002: REALIZAR DESMONTAGEM DE  ANDAIME- PAU DE CARGA, COM USO DE FERRAMENTAS MANUAIS E APOIO DE CAMINHAO PARA TRANSPORTE DE MATERIAL</t>
  </si>
  <si>
    <t>AIT-222250002: ANALISAR CONDIÇÕES DO ANALISADOR, COM USO DE FERRAMENTAS MANUAIS E MULTÍMETRO - INSPEÇÃO VISUAL DO ANALISADOR, INSPEÇÃO DO SISTEMAS DE AMOSTRAGEM, TOMADAS DE AMOSTRAS, SISTEMA DE CONDICIONAMENTO DE AMOSTRAS, DESCARTE DE AMOSTRA E SISTEMA DE MEDIÇÃO, CALIBRAÇÃO COM USO DE GÁS PADRÃO, AJUSTE DE PRESSÃO E VAZÃO, LEITURA E INTERPRETAÇÃO DE INFORMAÇÕES VIA IHM, AVALIAÇÃO DE TRANSMISSÃO DE SINAL PARA SDCD, REMOÇÃO E INSTALAÇÃO DOS FILTROS ÓPTICOS, DO DEMISTER E DO EJETOR PARA LIMPEZA;</t>
  </si>
  <si>
    <t>513-C-02: REALIZAR REMOÇÃO/LIMPEZA DOS RECHEIOS DA TORRE, COM USO DE FERRAMENTAS MANUAIS E APOIO DE MAQUINA DE CAMPO ( GUINDASTE, EMPILHADEIRA E CAMINHAO )</t>
  </si>
  <si>
    <t>513-C-02: REALIZAR MONTAGEM , MODIFICAÇÃO E DESMONTAGEM DE ANDAIME( INTERNO DA TORRE ), COM USO DE FERRAMENTAS MANUAIS.</t>
  </si>
  <si>
    <t>323-P-01A - REALIZAR MONTAGEM, MODIFICACAO E DESMONTAGEM DE ANDAIME, COM USO DE FERRAMENTAS MANUAIS E APOIO DE CAMINHAO PARA TRANSPORTE DE MATERIAL</t>
  </si>
  <si>
    <t>CCF-1 / U-004 - DESMONTAGEM DE ANDAIMES (BARRACA). COM USO DE FERRAMENTAS PESSOAIS E APOIO DE CAMINHÃO PARA TRANSPORTE.</t>
  </si>
  <si>
    <t>0109-TU-1009 - APOIO DE ANDAIMISTA PARA LINHA DE AR PRIORITÁRIO CONFORME INDICAÇÃO DA OPERAÇÃO, COM USO DE FERRAMENTAS MANUAIS</t>
  </si>
  <si>
    <t xml:space="preserve">CCF 1 - REALIZAR PREPARACAO E PINTURA NOS PONTOS INDICADOS PELA OPERACAO EM TUBULACAO NO LB DA U-03/04 COM USO DE FERRAMENTAS MANUAIS. </t>
  </si>
  <si>
    <t>0109-TU-1009 - INSTALAÇÃO/REMOÇÃO DE RECURSOS TÉCNICOS, MANGUEIRAS E MANGOTES COM USO DE FERRAMENTAS MANUAIS CONFORME OPERAÇÃO</t>
  </si>
  <si>
    <t>0109-TU-1009 - SUBSTITUIR BLOQUEIO 109-FT-0018 COM USO DE FERRAMENTAS MANUAIS, CORTE E SOLDA. APOIO DE ELÉTRICA E REALIZAR END'S</t>
  </si>
  <si>
    <t>103-E-05A: MELHORAR ILUMINAÇÃO NO INTERIOR DA CAPELA DO AMOSTRADOR DE BORRA 103PF1; COM ATIVIDADES DE TROCA DE LÂMPADAS,LUMINÁRIAS E REATORES; COM APOIO DE ESCADA PORTÁTIL E FERRAMENTAS MANUAIS.</t>
  </si>
  <si>
    <t xml:space="preserve">0109-PSV-0010 INSTALAR PSV COM USO FERRAMENTAS MANUAIS.
</t>
  </si>
  <si>
    <t xml:space="preserve">0003-TV-0038: CALIBRAR ACUMULADOR HIDRÁULICO COM USO DE FERRAMENTAS MANUAIS E ACOMPANHAMENTO DA OPERAÇÃO. 
</t>
  </si>
  <si>
    <t>0003-FT/FI-0383: RESSELAR PARA DENTRO, COM USO DE FERRAMENTAS MANUAIS.</t>
  </si>
  <si>
    <t>0103-P-0002A - APOIO DE CALDEIRARIA E ANDAIME PARA TRAVAR SUPOR MOLA COM USO DE FERRAMENTAS MANUAIS CONFORME OPERAÇÃO</t>
  </si>
  <si>
    <t>0103-V-0003 - APOIO DE DESCARTE DE CATALISADOR COM USO DE FERRAMENTAS MANUAIS E APOIO DE CAMINHÃO VÁCUO</t>
  </si>
  <si>
    <t>0109-TU-1009 - REMOVER BUCHA DO BLOQUEIO FT-0018 COM USO DE FERRAMENTAS MANUAIS</t>
  </si>
  <si>
    <t xml:space="preserve">0103-P-0002A - REALIZAR REMOÇÃO DA BOMBA/CARCAÇA COM USO DE FERRAMENTAS MANUAIS E APOIO DE MAQUINA DE CAMPO.
</t>
  </si>
  <si>
    <t xml:space="preserve">UN-0103 - 0103-P-0024B - REVISAR PRESSOSTATO, COM USO DE FERRAMENTAS MANUAIS.
</t>
  </si>
  <si>
    <t xml:space="preserve">0109-TU-1009 - MONTAGEM DE ANDAIME PARA LINHA DE AR PRIORITÁRIO CONFORME INDICAÇÃO DA OPERAÇÃO, COM USO DE FERRAMENTAS MANUAIS E APOIO DE CAMINHÃO PARA TRANSPORTE DE MATERIAIS </t>
  </si>
  <si>
    <t>0104-E-0001A - REMOVER CARRETEL E INSTALAR FLANGE CEGO NA LINHA DO TROCADOR COM USO DE FERRAMENTAS MANUAIS</t>
  </si>
  <si>
    <t>CCF 2 AREA GERAL:
MANUTENÇÃO DE PURGADORES COM USO DE FERRAMENTAS MANUAIS.</t>
  </si>
  <si>
    <t>0109-TU-1009 - MONTAGEM DE ANDAIME E APOIO DE ANDAIMISTA PARA LINHA DE AR PRIORITÁRIO CONFORME INDICAÇÃO DA OPERAÇÃO, COM USO DE FERRAMENTAS MANUAIS E APOIO DE CAMINHÃO PARA TRANSPORTE DE MATERIAIS</t>
  </si>
  <si>
    <t>Revisar/substituir solenoide do comando de acionamento da "válvula azul" do 0003-Z-0026. Com uso de ferramentas manuais.</t>
  </si>
  <si>
    <t>CCF I - REALIZAR MONTAGEM, MODIFICAÇÃO E DESMONTAGEM DE ANDAIME, COM USO DE FERRAMENTAS MANUAIS, COM APOIO DE CAMINHÃO PARA TRANSPORTE DE MATERIAL.</t>
  </si>
  <si>
    <t>0103-TG-0001 - REVISAR INDICAÇÕES NO SDCD, COM USO DE FERRAMENTAS MANUAIS.</t>
  </si>
  <si>
    <t xml:space="preserve">CCF-I - U-003/004/007/114/313
REALIZAR LIMPEZA (USO DE DESENGRAXANTE E QUEROSENE) E CAPINAS DE PISOS, PLATAFORMAS E CANALETAS, COM MANUSEIO DE RESÍDUOS, TAMBORES, BIG BAGS, UTILIZAÇÃO DE MANGUEIRAS DE VAPOR DE BAIXA E APOIO DE CAMINHÃO, GUINDASTE E EMPILHADEIRA; PROMOVER LIMPEZA E DESOBSTRUÇÃO DE COLETORES DE DRENAGEM COM UTILIZAÇÃO DE CAMINHÃO À VÁCUO (ESTA ATIVIDADE EXIGE O ACOMPANHAMENTO DA OPERAÇÃO).
</t>
  </si>
  <si>
    <t>CCF-II - U-103/104/107/109
REALIZAR LIMPEZA (USO DE DESENGRAXANTE) E CAPINAS DE PISOS, PLATAFORMAS E CANALETAS, COM MANUSEIO DE RESÍDUOS, TAMBORES, BIG BAGS, UTILIZAÇÃO DE MANGUEIRAS DE VAPOR DE BAIXA E APOIO DE CAMINHÃO, GUINDASTE E EMPILHADEIRA; PROMOVER LIMPEZA E DESOBSTRUÇÃO DE COLETORES DE DRENAGEM COM UTILIZAÇÃO DE CAMINHÃO VÁCUO (ESTA ATIVIDADE EXIGE O ACOMPANHAMENTO DA OPERAÇÃO); FAZER EMPILHAMENTO DE TAMBORES DE DEA PARA O 109-V-103, UTILIZANDO EMPILHADEIRA.</t>
  </si>
  <si>
    <t xml:space="preserve">0003-TV-0038: REAPERTAR MOLAS PRATO, INSPECIONAR VISUALMENTE HASTE, INSPECIONAR LINHA DE PURGA DA GAXETA QUANTO A VAZAMENTOS E EFETIVIDADE, CALIBRAR ACUMULADOR HIDRÁULICO COM ACOMPANHAMENTO DA OPERAÇÃO E USO DE FERRAMENTAS MANUAIS. 
</t>
  </si>
  <si>
    <t xml:space="preserve">0103-P-0002A - REALIZAR REMOÇÃO DA BOMBA COM USO DE FERRAMENTAS MANUAIS E APOIO DE MAQUINA DE CAMPO.
</t>
  </si>
  <si>
    <t>0109-TU-1009 - ABRIR/FECHAR BLOQUEIOS PARA DESOBSTRUÇÃO DA LINHA DE AR PRIORITÁRIO CONFORME OPERAÇÃO COM USO DE FERRAMENTAS MANUAIS</t>
  </si>
  <si>
    <t>04-MP-02B: Desconectar cabos de alimentação e testar motor e cabos; Apoio de megômetro, micromímetro e ferramentas manuais.                          ### Com Libra ###</t>
  </si>
  <si>
    <t>0109-TU-1009 - MONTAGEM DE ANDAIME PARA LINHA DE AR PRIORITÁRIO CONFORME INDICAÇÃO DA OPERAÇÃO, COM USO DE FERRAMENTAS MANUAIS E APOIO DE CAMINHÃO PARA TRANSPORTE DE MATERIAIS</t>
  </si>
  <si>
    <t>0004-PSV-0050 - MONTAR ANDAIME PARA ATENDER A PSV COM USO DE FERRAMENTAS MANUAIS E APOIO DE CAMINHÃO PARA TRANSPORTE DE MATERIAIS</t>
  </si>
  <si>
    <t>0109-PSV-0111 - MONTAR ANDAIME PARA ATENDER A PSV COM USO DE FERRAMENTAS MANUAIS E APOIO DE CAMINHÃO PARA TRANSPORTE DE MATERIAIS</t>
  </si>
  <si>
    <t xml:space="preserve">0109-PSV-0010 REMOVER PSV COM USO FERRAMENTAS MANUAIS.
</t>
  </si>
  <si>
    <t xml:space="preserve">0004-AT-0033: REPARAR/SUBSTITUIR DETECTOR, COM USO DE FERRAMENTAS MANUAIS.
</t>
  </si>
  <si>
    <t xml:space="preserve">UN-0103: MANUTENÇÃO PREVENTIVA EM DETECTORES DE GÁS DA UNIDADE, COM USO DE FERRAMENTAS MANUAIS.
</t>
  </si>
  <si>
    <t xml:space="preserve">UN-0104: MANUTENÇÃO PREVENTIVA EM DETECTORES DE GÁS DA UNIDADE, COM USO DE FERRAMENTAS MANUAIS.
</t>
  </si>
  <si>
    <t xml:space="preserve">0103-P-0002A - REALIZAR INSTALAÇÃO DA CARCAÇA COM USO DE FERRAMENTAS MANUAIS E APOIO DE MAQUINA DE CAMPO.
</t>
  </si>
  <si>
    <t xml:space="preserve">52-MK-01E-01 B - REALIZAR A PREVENTIVA MECANICA COM USO DE FERRAMENTAS MANUAIS. 
</t>
  </si>
  <si>
    <t>0052-XV-0033 REVISAR ACIONAMENTO COM O USO DE FERRAMENTAS MANUAIS.</t>
  </si>
  <si>
    <t xml:space="preserve">0054-P-0005B - REALIZAR A REMOÇÃO DO MOTOR/BOMBA COM USO DE FERRAMENTAS MANUAIS E APOIO DE MAQUINA DE CAMPO. </t>
  </si>
  <si>
    <t>52- Z- 08: REVISAR CIRCUITO DE COMANDOS/HOMEM MORTO COM USO DE FERRAMENTAS MANUAIS E EQUIPAMENTOS ELETRONICOS.</t>
  </si>
  <si>
    <t>0052-XCV-0006A: REALIZAR DESMONTAGEM ANDAIME COM USO DE FERRAMENTAS MANUAIS.</t>
  </si>
  <si>
    <t xml:space="preserve">0052-P-0026B - REALIZAR PREVENTIVA MECANICA (LIMPEZA DE CABEÇOTE) COM USO DE FERRAMENTAS MANUAIS. 
</t>
  </si>
  <si>
    <t xml:space="preserve">0052-P-0024A - ACOPLAR MOTOR E BOMBA COM USO DE FERRAMENTAS MANUAIS.
</t>
  </si>
  <si>
    <t>0052-R-0001D: REALIZAR MONTAGEM, MODIFICACAO E DESMONTAGEM DE ANDAIME NA LINHA DE TOPO DO REATOR NO 6º ANDAR PARA HIDROJATO COM USO DE FERRAMENTAS MANUAIS.</t>
  </si>
  <si>
    <t>COQUE MANUTENCAO PURGADORES U-0052: REALIZAR MANUTENCAO DE PURGADORES COM USO DE FERRAMENTAS MANUAIS.</t>
  </si>
  <si>
    <t>0054-P-0005B - ELIMINAR VAZAMENTO NOS FLANGES DE SUCÇÃO E DESCARGA COM USO DE FERRAMENTAS MANUAIS.</t>
  </si>
  <si>
    <t>52-Z-08 Preventiva Elétrica Quinzenal/Semanal, Com atividades Inspeção externa, Inspeção das escovas e dos anéis coletores ( Motor - Abertura e fechamento da caçamba,  Motor – Içamento da caçamba, Motor – Translação da ponte e  Motor – Translação do carro) Com apoio de ferramentas manuais.</t>
  </si>
  <si>
    <t>52- Z- 08: REVISAR CIRCUITO DE COMANDOS COM USO DE FERRAMENTAS MANUAIS E EQUIPAMENTOS ELETRONICOS.</t>
  </si>
  <si>
    <t>54-MP-05B: DESCONECTAR CABOS DE FORÇA COM APOIO DE FERRAMENTAS MANUAIS.</t>
  </si>
  <si>
    <t>0052-XV-0022/0036: REALIZAR MONTAGEM, MODIFICAÇÃO E DESMONTAGEM ANDAIME (PAU CARGA) COM USO DE FERRAMENTAS MANUAIS.</t>
  </si>
  <si>
    <t>52-XV-36: Conectar cabos de alimentação da válvula; Apoio de ferramentas manuais.</t>
  </si>
  <si>
    <t>0052-R-0001A: REALIZAR DESEMPENO DA LANÃA DESCOQUEAMENTO COM USO DE FERRAMENTAS MANUAIS.</t>
  </si>
  <si>
    <t>0052-R-0001D: REALIZAR DESMONTAGEM DE ANDAIME COM USO DE FERRAMENTAS MANUAIS.</t>
  </si>
  <si>
    <t>52-V-15 Preventiva Elétrica Quadrimestral Com atividades Limpeza da caixa de ligação, Reaperto da caixa de ligação e Vedação da caixa de ligação( Motor Vibratório do Silo (AV1-A-52-M1-AL-01/AV1-B-52-M2-AL-01/AV2-A-52-M1-AL-02/AV2-B-52-M2-AL-02) Com apoio de ferramentas manuais.</t>
  </si>
  <si>
    <t>52-V-15 Preventiva Elétrica Bimestral Com atividades Ver se todos os componentes externos (botoeiras, chaves fim-de-curso, etc) estão corretamente identificados e pintados (Identificação e pinturas das botoeiras, fins-de-curso e demais componentes), Conferir estado da iluminação, Teste funcional e inspeção visual ( Limites (55-ZSL-220), Sistema de telecomando,  Elementos resistores e Réguas de bornes) Inspeção visual da caixa de ligação(Motor de Translação do Silo (52-M1V-15 / 52-M2V-15 / 52-M3V-15 / 52-M4V-15); Com apoio ferramentas manuais. 
##SEM LIBRA##</t>
  </si>
  <si>
    <t>UN-0223 - 0223-P-01A REVISAR / SUBSTITUIR SENSOR VIBRAÃÂÃÂO SOLT, COM USO DE FERRAMENTAS MANUAIS.</t>
  </si>
  <si>
    <t>0052-XV-0036 - APOIO DE INSTRUMENTACAO PARA CONECTAR CABOS DE INSTRUMENTAÃÃO E AJUSTAR FIM DE CURSO COM
USO DE FERRAMENTAS MANUAIS.
52-XV-36 AJUSTAR FIM DE CURSO
52-XV-22 DESCONECTAR CABOS
52-XV-36 CONECTAR CABOS
COM USO DE FERRAMENTAS MANUAIS.</t>
  </si>
  <si>
    <t>52-XV-22 DESCONECTAR CABOS ELÉTRICOS. COM USO DE FERRAMENTAS MANUAIS. ###COM LIBRA###</t>
  </si>
  <si>
    <t>52-XV-36 CONECTAR CABOS ELÉTRICOS. COM USO DE FERRAMENTAS MANUAIS. ###COM LIBRA###</t>
  </si>
  <si>
    <t xml:space="preserve">52-XV-22 - REALIZAR A REMOÇÃO DO ATUADOR PARA INSTALAÇÃO NO "52-XV-36 ", COM USO DE FERRAMENTAS MANUAIS. 
</t>
  </si>
  <si>
    <t xml:space="preserve">52-XV-36 - REALIZAR A INSTALAÇÃO DO ATUADOR REMOVIDO DO "52-XV-22 ", COM USO DE FERRAMENTAS MANUAIS. 
</t>
  </si>
  <si>
    <t xml:space="preserve">0052-R-0001A - REALIZAR A SUBSTITUIÇÃO DO CABO DE AÇO DA LANÇA DE DESCOQUEAMENTO COM O USO DE FERRAMENTAS MANUAIS.
</t>
  </si>
  <si>
    <t>UN-0052 - 0052-XV-0022: DESCONECTAR CABOS, COM USO DE FERRAMENTAS MANUAIS.</t>
  </si>
  <si>
    <t>0052-XCV-0004B: REALIZAR AQUECIMENTO DA VALVULA DE CONTROLE COM USO DE FERRAMENTAS MANUAIS E MAQUINA DE TRATAMENTO TERMICO.</t>
  </si>
  <si>
    <t xml:space="preserve">0052-R-0001A - APOIO CALDEIRARIA / SOLDADOR AO ED PARA REALIZAR A SUBSTITUIÇÃO DO CABO DE AÇO DA LANÇA DE DESCOQUEAMENTO COM O USO DE CORTE, SOLDA, ESMERILHAMENTO (MAÇARICO) E FERRAMENTAS MANUAIS COM APOIO ELÉTRICA. 
</t>
  </si>
  <si>
    <t xml:space="preserve">0053-P-0001B - REALIZAR A REMOÇÃO DO MOTOR COM USO DE FERRAMENTAS MANUAIS E APOIO DE MAQUINA DE CAMPO. 
</t>
  </si>
  <si>
    <t>COQUE MANUTENÇÃO PURGADORES U-0052: REALIZAR MANUTENÇÃO DE PURGADORES COM USO DE FERRAMENTAS MANUAIS.</t>
  </si>
  <si>
    <t>0052-R-0001D: APOIO CALDEIRARIA / SOLDADOR AO ED PARA SERVIÇO REFORÇO ESTRUTURAL NO CARRINHO DA LANÇA COM APOIO DE CORTE, SOLDA E ESMERILHAMENTO E FERRAMENTAS MANUAIS COM APOIO ELÉTRICA.</t>
  </si>
  <si>
    <t>0052-F-0001B: REALIZAR LIMPEZA DE QUEIMADORES E PILOTOS COM USO DE FERRAMENTAS MANUAIS.</t>
  </si>
  <si>
    <t>55-CT-03/04/05/06: Preventiva elétrica bimestral, Com atividades teste funcional e inspeção visual ( Alarme Sonoro, Botoeira de liga-desliga em modo local,  Chave fim de curso esticador da correia,  Desalinhamento,  Motor da correia,  Pull-cord, Relé Sub-velocidade)</t>
  </si>
  <si>
    <t>52-CT-01 /55-CT-01 02:  Preventiva elétrica bimestral, Com atividades teste funcional e inspeção visual, Inspeção visual da caixa de ligação, Inspeção dos diodos retificadores,Inspeção visual da caixa de ligação e Inspeção dos diodos retificadores ( Alarme Sonoro,  Botoeira de liga-desliga em modo local,   Chave fim de curso esticador da correia,  Desalinhamento, Motor da correia,  Pull-cord, Relé Sub-velocidade e  Extrator magnético (204-PN-37), com apoio ferramentas manuais.</t>
  </si>
  <si>
    <t>52- Z- 08: Revisar falha do circuito de comando de içamento e homem morto; Apoio de ferramentas manuais.</t>
  </si>
  <si>
    <t>UN-0223 - 0223-P-0007A CALIBRAR MANÔMETRO, COM USO DE FERRAMENTAS MANUAIS.</t>
  </si>
  <si>
    <t xml:space="preserve">UN-0052 - 0052-XCV-0006D: DESCONECTAR CABOS DO ATUADOR / AJUSTE DE FIM DE CURSO, COM USO DE FERRAMENTAS MANUAIS.
</t>
  </si>
  <si>
    <t xml:space="preserve"> 0054-P-0005A - REALIZAR REAPERTO NO CABEÇOTE, REMOÇÃO DA BOMBA COM USO DE FERRAMENTAS MANUAIS E APOIO DE MAQUINA DE CAMPO.
</t>
  </si>
  <si>
    <t>0052-MK-E-0001B: REALIZAR MONTAGEM, MODIFICAÇÃO E DESMONTAGEM ANDAIME COM USO DE FERRAMENTAS MANUAIS.</t>
  </si>
  <si>
    <t>53- MP- 01B: Desconectar cabos de alimentação do motor; Apoio de ferramentas manuais.                                             ##### COM LIBRA ###   PARA HOJE NO TURNO DA NOITE</t>
  </si>
  <si>
    <t xml:space="preserve">"0052-Z-0008 - REALIZAR A INSPEÇÃO INTERNA EM PONTE ROLANTE COM USO DE FERRAMENTAS MANUAIS. 
*(ESPACO CONFINADO)*"
</t>
  </si>
  <si>
    <t>TE - ETDI - DESARENADOR EXECUÇÃO DE ARMAÇÃO, FORMA, CONCRETAGEM, ESCAVAÇÃO MANUAL E/OU MECÂNICA E REATERRO PARA EXECUÇÃO DE CAIXA NOVA NA PARTE EXTERNA DO DESARENADOR. COM USO DE FERRAMENTAS MANUAIS, CAMINHÃO MUNCK, FURADEIRA ELÉTRICA, GERADOR À GASOLINA E COMPACTADOR À GASOLINA. APOIO DE ANDAIME, ELETRICISTA, TOPOGRAFIA E RETROESCAVADEIRA.</t>
  </si>
  <si>
    <t>TE - ETDI - DESARENADOR
EXECUÇÃO DE ARMAÇÃO, FORMA, CONCRETAGEM, ESCAVAÇÃO MANUAL E/OU MECÂNICA E REATERRO PARA EXECUÇÃO DE CAIXA NOVA NA PARTE EXTERNA DO DESARENADOR. 
COM USO DE FERRAMENTAS MANUAIS, CAMINHÃO MUNCK, FURADEIRA ELÉTRICA, GERADOR À GASOLINA E COMPACTADOR À GASOLINA. APOIO DE ANDAIME, ELETRICISTA, TOPOGRAFIA E RETROESCAVADEIRA.</t>
  </si>
  <si>
    <t>0028-FT-2427 - INSTALAR INSTRUMENTO / REVISAR MALHA DO INSTRUMENTO, COM USO DE FERRAMENTAS MANUAIS.</t>
  </si>
  <si>
    <t>27-MA-01C/A - MONTAGEM/DESMONTAGEM E MODIFICAÇÃO DE ANDAIME COM O USO DE FERRAMENTAS MANUAIS E APOIO DE CAMINHÃO</t>
  </si>
  <si>
    <t xml:space="preserve">SAO - PISCINA 2 - REALIZAR SERVIÇOS DE CALDEIRARIA NA MANUTENÇÃO DA PISCINA DA SAO , COM O USO DE FERRAMENTAS MANUAIS, APOIO DE MAQUINA DE CAMPO. COM CORTE SOLDA E ESMERILHAMENTO E END'S </t>
  </si>
  <si>
    <t>0028-P-0001C/G/F - REALIZAR INSTALAÇÃO DE DRENO COM O USO DE FERRAMENTAS MANUAIS.</t>
  </si>
  <si>
    <t xml:space="preserve">0027-TQ-0096F REINSTALAR RADAR / INSTRUMENTOS, COM USO DE FERRAMENTAS MANUAIS.
</t>
  </si>
  <si>
    <t>TE - ETDI:  32-LAP - REALIZAR INSTALAÇÃO DE TUBULAÇÃO DO DRENO COM O USO DE FERRAMENTAS MANUAIS, COM O USO DE FURADEIRA E APOIO DE MAQUINA DE CAMPO E APOIO DE PINTURA</t>
  </si>
  <si>
    <t>28-FT-517 - MONTAGEM/DESMONTAGEM E MODIFICAÇÃO DE ANDAIME COM USO DE FERRAMENTAS MANUAIS E APOPIO DE CAMINHÃO</t>
  </si>
  <si>
    <t xml:space="preserve">UN-0027  0027-LT-0036C AFERIÇÃO SOX - CCL5 / 0027-LT-0076A AFERIÇÃO SOX - CCL5, COM USO DE FERRAMENTA MANUAIS.
</t>
  </si>
  <si>
    <t xml:space="preserve">
UN-0027 - 0027-LT-0066E AFERIÃÂÃÂO SOX, COM USO DE FERRAMENTAS MANUAIS.
</t>
  </si>
  <si>
    <t>UN-0027 - 0027-LT-0076I AFERIÃÃO SOX, COM USO DE FERRAMENTAS MANUAIS.</t>
  </si>
  <si>
    <t xml:space="preserve">UN- 0027 - 0027-LT-0096B AFERIÇÃO SOX -PT 05 / 0027-LT-0081 AFERIÇÃO SOX PT 05, COM USO DE FERRAMENTAS MANUAIS.
</t>
  </si>
  <si>
    <t>UN-0027 0027-LT-0116C AFERIÃÃO SOX - PT-04A / 0027-LT-0117G AFERIÃÃO SOX - PT-04A, COM USO DE FERRAMENTAS MANUAIS.</t>
  </si>
  <si>
    <t xml:space="preserve"># REALIZAR FECHAMENTO DAS BV's DO TETO
</t>
  </si>
  <si>
    <t>REALIZAR ADEQUAÇÃO DE ACESSO A BACIA</t>
  </si>
  <si>
    <t>TE - PETRÓLEO - 27-TQ-46C - SUBSTITUIÇÃO DE CÂMARA DE ESPUMA, COM USO DE FERRAMENTAS MANUAIS, COM CURTE E ESMERILHAMEN</t>
  </si>
  <si>
    <t xml:space="preserve">REALIZAR REMOÇÃO DE ISOLAMENTO NO TETO CONFORME INSPEÇÃO.
</t>
  </si>
  <si>
    <t>17- PN- 11L: Revisar circuito de comando e força; Apoio de furadeira elétrica e ferramentas manuais.                           ##### COM LIBRA ###</t>
  </si>
  <si>
    <t>REALIZAR INSPEÇÃO, PREPARAÇÃO E PINTURA DAS ESTRUTURAS METALICAS NO ENTORNO E TETO DO TANQUE</t>
  </si>
  <si>
    <t>27-TQ-16F: Reparar/substituir eletrodutos e fixação de suportes; Apoio de furadeira elétrica e ferramentas manuais.</t>
  </si>
  <si>
    <t>ÁREA DE GLP: REVISAR CIRCUITO DE ILUMINAÇÃO COM ATIVIDADES DE TROCA DE LÂMPADAS,LUMINÁRIAS E REATORES; APOIO DE PLATAFORMA ELEVATÓRIA, ESCADA PORTÁTIL E FERRAMENTAS MANUAIS.</t>
  </si>
  <si>
    <t>040-MK-001B - CONECTAR CABOS COM USO DE FERRAMENTAS MANUAIS. #### COM LIBRA####</t>
  </si>
  <si>
    <t xml:space="preserve"> REALIZAR ADEQUACAO DE ACESSO A BACIA, MOBILIZACAO DE CAIXA DE CONTENCAO E EQUIPAMENTO ELETRICO, PAINEIS, EXAUSTORES E REMOCAO DE DORMENTES NA BACIA </t>
  </si>
  <si>
    <t xml:space="preserve">17- PN- 11L: Revisar circuito de comando e força; Apoio de furadeira elétrica e ferramentas manuais.                        #### SEM LIBRA ####               </t>
  </si>
  <si>
    <t>TE - ESCUROS - 28-P-04 C - Realizar a remoção da bomba com uso de talha, empilhadeira e ferramentas manuais e apoio de máquina de campo. Instalar flanges cegos.</t>
  </si>
  <si>
    <t xml:space="preserve">TROCAR INVERSOR DO 0040-MK-0001B COM O INVERSOR DO 0040-MK-0001A COM USO DE FERRAMENTAS MANUAIS.
</t>
  </si>
  <si>
    <t>TE - 040-MK-001B - Instalar motor com apoio de maquina de campo, empilhadeira e uso de ferramentas manuais.</t>
  </si>
  <si>
    <t>29-V-2001 -  FABRICAR E INSTALAR GRADE DE PISO, COM USO DE FERRAMENTAS MANUAIS , CORTE SOLDA E ESMERILHAMENTO, APOIO DE END´S E APOIO DE MAQUINA DE CAMPO</t>
  </si>
  <si>
    <t>TE-ESCUROS: 28-P-04A/B - INSTALAR DRENO COM O USO DE FERRAMENTAS MANUAIS, CORTE, SOLDA E ESMERILHAMENTO</t>
  </si>
  <si>
    <t>31-MP-2001E: Reparar/substituir cabos de alimentação do motor; Apoio de megômetro, caminhão vácuo, escada portátil e ferramentas manuais.        ### COM LIBRA######</t>
  </si>
  <si>
    <t>29-PT-104 - MONTAGEM/DESMONTAGEM E MODIFICAÇÃO DE ANDAIME COM O USO DE FERRAMENTAS MANUAIS E APOIO DE CAMINHÃO</t>
  </si>
  <si>
    <t>REALIZAR RECOMPOSIÇÃO DO BERMA, CONFECÇÃO E CONCRETAGEM DE ACESSO, PREPARAÇÃO E PINTURA/RETOQUE E 5S
NA BACIA</t>
  </si>
  <si>
    <t xml:space="preserve">REALIZAR MOBILIZAÇÃO, INSTALAÇÃO E MANUTENÇÃO DOS EXAUSTORES NO TETO DO EQUIPAMENTO
</t>
  </si>
  <si>
    <t xml:space="preserve"> REALIZAR ESCAVAÇÃO COM FERRAMENTAS MANUAIS E CONFECÇÃO DE CANALETA PARA INDENTIFICAÇÃO DE MALHA DE
ATERRAMENTO NA BACIA VIDE CASEIS.
</t>
  </si>
  <si>
    <t>REALIZAR ADEQUAÇÃO DE ACESSO A BACIA.</t>
  </si>
  <si>
    <t xml:space="preserve">REALIZAR INSPEÇÃO, PREPARAÇÃO E PINTURA DAS ESTRUTURAS METALICAS NO ENTORNO E TETO DO TANQUE .
</t>
  </si>
  <si>
    <t>U-42 - REVISAR CIRCUITO DE ILUMINAÇÃO  COM ATIVIDADES DE TROCA DE LÂMPADAS,LUMINÁRIAS E REATORES; APOIO DE PLATAFORMA ELEVATÓRIA, ESCADA PORTÁTIL E FERRAMENTAS MANUAIS.</t>
  </si>
  <si>
    <t xml:space="preserve"># REMOVER POSTES DO SPDA
</t>
  </si>
  <si>
    <t>31- MP-2001E: REPARAR/SUBSTITUIR E CONECTAR CABOS DE ALIMENTAÇÃO DO MOTOR; APOIO DE MEGÔMETRO, ESCADA PORTÁTIL E FERRAMENTAS MANUAIS.
##### NECESSÁRIO LIBRA######</t>
  </si>
  <si>
    <t xml:space="preserve">#REALIZAR INSPEÇÃO, PREPARAÇÃO E PINTURA DAS ESTRUTURAS METALICAS NO ENTORNO E TETO DO TANQUE .
</t>
  </si>
  <si>
    <t xml:space="preserve"># REALIZAR INSTALACAO/MONTAGEM DE PLATAFORMA FIXA NO TETO DO TANQUE.
</t>
  </si>
  <si>
    <t>39-MP- 110C: Revisar comando e medir corrente; Apoio de ferrementas manuais.                                                                       ##### SEM LIBRA #######</t>
  </si>
  <si>
    <t>39-MP-107A: Revisar circuito de comando e gaveta; Apoio de ferramentas manuais.                                                           ##### sem libra #####</t>
  </si>
  <si>
    <t xml:space="preserve">TE - EMED, ESCUROS, ASFALTO, U42, EDR, ETDI, FLARES, U37, U40, FINAL, GLP, MISTURA: 
- LIMPAR, LUBRIFICAR E AMACIAR AS VÁLVULAS DAS ÁREAS DA TE, CONFORME CHECKLIST DA OPERAÇÃO; COM USO DE FERRAMENTAS MANUAIS. </t>
  </si>
  <si>
    <t>TE - CAPINA MANUAL, MECANICA E QUIMICA:
- VERIFICAR LOCAL LIBERADO PELO OPERADOR NA LISTA EM ANEXO - RUAS, AVENIDAS, TUBOVIAS, BACIAS E TALUDES DE TANQUES DAS AREAS DA TE DESDE A EMED ATE A RUA 40, AREA FINAL, AREA DE MISTURA, AREA DE PRODUTOS ESCUROS, AREA DE ASFALTO, AREA DE GLP( PROXIMO A PISCINA), EMED - ETDI - UNIDADE 040.
# CAPINA MANUAL, MECANICA E QUIMICA COM APOIO DE TRATOR E COM USO DE FERRAMENTAS MANUAIS E CEIFADEIRA COM MOTOR A GASOLINA; PODA E CORTE DE ARVORES; RECOLHIMENTO DE VEGETAO E ENTULHOS COM APOIO DE MAQUINA DE CAMPO E CAMINHAO; PLATAFORMA ELEVATARIO; LIMPEZA DE CANALETAS DE AGUA PLUVIAL; PINTURA DE PISO E MEIO-FIO COM FERRAMENTAS MANUAIS;  E FERRAMENTAS MANUAIS e MAQUINA FOTOGRAFICA.</t>
  </si>
  <si>
    <t>TE - PETRÓLEO - 27-A-01C/A - Realizar a remoção da motor com uso de talha e ferramentas manuais e apoio de máquina de campo.</t>
  </si>
  <si>
    <t xml:space="preserve"># MOBILIZAR BOMBA ITU PARA BACIA DO 76A
</t>
  </si>
  <si>
    <t>TE - ETDI: 32 - BAC - REALIZAR REMOÇÃO/INSTALAÇÃO DE BOMBA ITU COM O USO DE FERRAMENTAS MANUAIS.</t>
  </si>
  <si>
    <t xml:space="preserve">0028-PSV-2042 REMOVER PSV COM USO FERRAMENTAS MANUAIS.
</t>
  </si>
  <si>
    <t xml:space="preserve">0028-PSV-0576 REMOVER PSV COM USO FERRAMENTAS MANUAIS.
</t>
  </si>
  <si>
    <t xml:space="preserve">TE - 0029-PT/PIC-0104 (0029-F-2002): MANUTENÇÃO PREVENTIVA PREVENTIVA COM USO DE FERRAMENTAS MANUAIS.
</t>
  </si>
  <si>
    <t>REALIZAR ADEQUACAO DE ACESSO A BACIA, MOBILIZACAO E INSTALAÇÃO DE CAIXA DE CONTENCAO E EQUIPAMENTO
ELETRICO, PAINEIS E EXAUSTORES E REMOCAO DE DORMENTES NA BACIA .</t>
  </si>
  <si>
    <t>27- TQ- 96F: Revisar/reparar sistema de aterramento do tanque, com as atividades de solda exotérmica e lançamento de cabos; Apoio de ferramentas manuais.</t>
  </si>
  <si>
    <t>TE - ETDI - DESARENADOR
EXECUÇÃO DE ARMAÇÃO, FORMA, CONCRETAGEM, ESCAVAÇÃO MANUAL E/OU MECÃNICA E REATERRO PARA EXECUÇÃO DE CAIXA NOVA NA PARTE EXTERNA DO DESARENADOR. 
COM USO DE FERRAMENTAS MANUAIS, CAMINHÃO MUNCK, FURADEIRA ELÉTRICA, GERADOR A GASOLINA E COMPACTADOR A GASOLINA. APOIO DE ANDAIME, ELETRICISTA, TOPOGRAFIA E RETROESCAVADEIRA.</t>
  </si>
  <si>
    <t>TE - ETDI - DESARENADOR
EXECUCAO DE ARMACAO, FORMA, CONCRETAGEM, ESCAVACAO MANUAL E/OU MECANICA E REATERRO PARA EXECUCAO DE CAIXA NOVA NA PARTE EXTERNA DO DESARENADOR. 
COM USO DE FERRAMENTAS MANUAIS, CAMINHAO MUNCK, FURADEIRA ELETRICA, GERADOR A GASOLINA E COMPACTADOR A GASOLINA. APOIO DE ANDAIME, ELETRICISTA, TOPOGRAFIA E RETROESCAVADEIRA.</t>
  </si>
  <si>
    <t xml:space="preserve"># REMOVER RAQUETES
</t>
  </si>
  <si>
    <t>#REALIZAR LIMPEZA DA AREA, CAPINA MANUAL, RECOLHIMENTO DE MATERIAL;
# REMOÇÃO E RECOMPOSIÇÃO DO ISOLAMENTO;
# PREPARAÇÃO E PINTURA NA TUBOVIA, GUARDA CORPO, PONTILHÃO E CORRIMÃO</t>
  </si>
  <si>
    <t>31-MP-2001E: Conectar cabos de sinal 4 á 20 mA, cabos liga/desliga via SDCD e parametrizar/testar inversor; Apoio de ferramentas manuais.                       ####### Sem libra #####</t>
  </si>
  <si>
    <t>39-MP-110C - REPARAR CABOS DO MOTOR. COM USO DE FERRAMENTAS MANUAIS. ### COM LIBRA ###</t>
  </si>
  <si>
    <t xml:space="preserve"># ABRIR BVS E BL
</t>
  </si>
  <si>
    <t>UN-0028 - 0028-FT-0515: INSTRUMENTO CONGELADO REVISAR MALHA, COM USO DE FERRAMENTAS MANUIAIS.</t>
  </si>
  <si>
    <t>TE-EMED: 0028-PSV-0101 REMOVER PSV COM USO FERRAMENTAS MANUAIS.</t>
  </si>
  <si>
    <t>TE - ETDI - ENXOFRE - BAIA 4/5 - REALIZAR REPARO NA ESTRUTURA COM O USO DE FERRAMENTAS MANUAIS E ANDAIME, REALIZAR TESTES NOS FUNCIONAMENTOS DOS PRATOS.</t>
  </si>
  <si>
    <t>TE - ETDI: 32 - BAC - REALIZAR REMOÇÃO/INSTALAÇÃO DE BOMBA ITU, COM O USO DE FERRAMENTAS MANUAI, RECOLHIMENTO DE MATERIAIS, APOIO DE CALDEIRARIA.</t>
  </si>
  <si>
    <t xml:space="preserve">REALIZAR MOBILIZACAO, INSTALACAO E MANUTENCAO DOS EXAUSTORES NO TETO DO EQUIPAMENTO
</t>
  </si>
  <si>
    <t>TE - PETRÓLEO - TQ01C - 27-MA-01C/A - MONTAGEM/DESMONTAGEM E MODIFICAÇÃO DE ANDAIME COM O USO DE FERRAMENTAS MANUAIS E APOIO DE CAMINHÃO</t>
  </si>
  <si>
    <t>TE - FINAL - AV B - INTELIGACAO S10
EXECUCAO DE ESTACA RAIZ, FORMA, ARMACAOO, CONCRETAGEM, GRAUTEAMENTO, ESCAVACAO MECANICA E/OU MANUAL, DEMOLICAO E REATERRO.
COM USO DE FERRAMENTAS MANUAIS, BETONEIRA, GERADOR, CAMINHAO MUNCK E BOMBA D'AGUA. APOIO DE ELETRICISTA, TOPOGRAFIA E RETROESCAVADEIRA.</t>
  </si>
  <si>
    <t>TE - FINAL - TQ-76J
DEMOLICAO DE CONCRETO, ESCAVACAO MANUAL E/OU MECANICA, REATERRO, CONCRETAGEM E ESCAVACAO PARCIAL DO DE TALUDE, MANTENDO SUA CONTENCAO, PARA INSPECAO DA TUBULACAO.
COM USO DE FERRAMENTAS MANUAIS, MARTELETE ELETRICO. APOIO DE RETROESCAVADEIRA, ELETRICISTA.</t>
  </si>
  <si>
    <t>TE-ETDI- PISCINA SAO 2
REALIZAR LIMPEZA INTERNA DA PISCINA, COM USO DE FERRAMENTAS MANUAIS, APOIO DE CAMINHAO A VACUO E MONITORAMENTO DE GX.</t>
  </si>
  <si>
    <t>TE - ETDI - DESARENADOR
EXECUCAOO DE ARMACAO, FORMA, CONCRETAGEM, ESCAVAÇÃO MANUAL E/OU MECÃNICA E REATERRO PARA EXECUÇÃO DE CAIXA NOVA NA PARTE EXTERNA DO DESARENADOR. 
COM USO DE FERRAMENTAS MANUAIS, CAMINHÃO MUNCK, FURADEIRA ELÉTRICA, GERADOR A GASOLINA E COMPACTADOR A GASOLINA. APOIO DE ANDAIME, ELETRICISTA, TOPOGRAFIA E RETROESCAVADEIRA.</t>
  </si>
  <si>
    <t>PATIO DE BOMBAS: REVISAR CIRCUITO DE ILUMINAÇÃO COM ATIVIDADES DE TROCA DE LÂMPADAS,LUMINÁRIAS E REATORES, COM APOIO DE PLATAFORMA ELEVATORIA ESCADA PORTÁTIL E FERRAMENTAS MANUAIS.</t>
  </si>
  <si>
    <t xml:space="preserve">0028-PSV-2042 INSTALAR PSV COM USO FERRAMENTAS MANUAIS.
</t>
  </si>
  <si>
    <t xml:space="preserve">REALIZAR ADEQUACAO DE ACESSO A BACIA, MOBILIZACAO E INSTALACAO DE CAIXA DE CONTENCAO E EQUIPAMENTO
ELETRICO, PAINEIS E EXAUSTORES E REMOCAO DE DORMENTES NA BACIA .
</t>
  </si>
  <si>
    <t xml:space="preserve">TE - PETRÓLEO - 27-A-01C/A - Realizar a remoção da motor com uso de talha e ferramentas manuais e apoio de máquina de campo.
</t>
  </si>
  <si>
    <t xml:space="preserve">0028-PSV-0576 INSTALAR PSV COM USO FERRAMENTAS MANUAIS.
</t>
  </si>
  <si>
    <t>REALIZAR LIMPEZA DA AREA, CAPINA MANUAL, RECOLHIMENTO DE MATERIAL;
REMOÇÃO E RECOMPOSIÇÃO DO ISOLAMENTO;
PREPARAÇÃO E PINTURA NA TUBOVIA, GUARDA CORPO, PONTILHÃO E CORRIMÃO.</t>
  </si>
  <si>
    <t xml:space="preserve"># TOPOGRAFIA DAS BASES DE SPDA
</t>
  </si>
  <si>
    <t xml:space="preserve"># INSTALAR SPDA
</t>
  </si>
  <si>
    <t>31- MP- 2001E: Revisar/parametrizar, testes do inversor e suportar eletroduto; Apoio de furadeira elétrica e ferramentas manuais.</t>
  </si>
  <si>
    <t xml:space="preserve"> REALIZAR ADEQUACAO DE ACESSO A BACIA, MOBILIZACAO E INSTALACAO DE CAIXA DE CONTENCAO E EQUIPAMENTO
ELETRICO, PAINEIS E EXAUSTORES E REMOCAO DE DORMENTES NA BACIA </t>
  </si>
  <si>
    <t xml:space="preserve">TE - FINAL - AV B - INTELIGACAO S10 EXECUCAO DE ESTACA RAIZ, FORMA, ARMACAOO, CONCRETAGEM, GRAUTEAMENTO, ESCAVACAO MECANICA E/OU MANUAL, DEMOLICAO E REATERRO. COM USO DE FERRAMENTAS MANUAIS, BETONEIRA, GERADOR, CAMINHAO MUNCK E BOMBA D'AGUA. APOIO DE ELETRICISTA, TOPOGRAFIA E RETROESCAVADEIRA.
</t>
  </si>
  <si>
    <t>TE - ETDI - DESARENADOR EXECUCAO DE ARMACAO, FORMA, CONCRETAGEM, ESCAVACAO MANUAL E/OU MECANICA E REATERRO PARA EXECUCAO DE CAIXA NOVA NA PARTE EXTERNA DO DESARENADOR. COM USO DE FERRAMENTAS MANUAIS, CAMINHAO MUNCK, FURADEIRA ELETRICA, GERADOR A GASOLINA E COMPACTADOR A GASOLINA. APOIO DE ANDAIME, ELETRICISTA, TOPOGRAFIA E RETROESCAVADEIRA.</t>
  </si>
  <si>
    <t xml:space="preserve">UDAV-2 - UN 101
DEMOLIÇÃO E RECUPERAÇÃO DE ESTRUTURA DE CONCRETO COM APOIO DE FERRAMENTAS MANUAIS, ELETRICISTA, MARTELETE ELÉTRICO, MÁQUINA DE HIDROJATEAMENTO E SERRA MÁRMORE. 
</t>
  </si>
  <si>
    <t>0105-AT-0001 (CCL-1), 0105-AT-0002 (105-V-01/02): MANUTENÇÃO PREVENTIVA EM DETECTORES DE GÁS, COM USO DE GASES
PADRÃO E FERRAMENTAS MANUAIS.</t>
  </si>
  <si>
    <t>101-E-011 - REALIZAR MONTAGEM, DESMONTAGEM E MODIFICAÇÃO DE ANDAIMES, PARA ATENDER A CIVIL. COM USO DE FERRAMENTAS MANUAIS E APOIO DE CAMINHÃO PARA TRANSPORTE.</t>
  </si>
  <si>
    <t>0001-V-019A - MONTAGEM DE ANDAIME/BARRACA COM USO DE FERRAMENTAS MANUAIS E APOIO DE CAMINHÃO PARA TRANSPORTE DE MATERIAIS</t>
  </si>
  <si>
    <t>0002-P-0004A - MONTAR PAU DE CARGA COM USO DE FERRAMENTAS MANUAIS E APOIO DE CAMINHÃO PARA TRANSPORTE DE MATERIAIS</t>
  </si>
  <si>
    <t>0001-LT-0011: REVISAR TOMADAS/RESSELAR, COM USO DE FERRAMENTAS MANUAIS.</t>
  </si>
  <si>
    <t>0113-FT-0011 - REMOVER / CALIBRAR / REINSTALAR INSTRUMENTO, COM USO DE FERRAMENTAS MANUAIS.</t>
  </si>
  <si>
    <t>0001-V-019A - REALIZAR JATEAMENTO E PINTURA DO VASO INTERNO COM USO DE FERRAMENTAS MANUAIS, LIXADEIRA E ABRASIVAS. APOIO DE ELÉTRICA, CAMINHÃO, EMPILHADEIRA E COMPRESSOR</t>
  </si>
  <si>
    <t xml:space="preserve">0113-FT-0011 RESSELAGEM DENTRO / DESOBSTRUÇÃO, COM USO DE FERRAMENTAS MANUAIS.
</t>
  </si>
  <si>
    <t xml:space="preserve">0002-P-0004A - REALIZAR REMOÇÃO DA BOMBA COM USO DE FERRAMENTAS MANUAIS E APOIO DE MAQUINA DE CAMPO.
</t>
  </si>
  <si>
    <t xml:space="preserve">0101-P-0010A - REALIZAR REMOÇÃO DA BOMBA COM USO DE FERRAMENTAS MANUAIS E APOIO DE MAQUINA DE CAMPO.
</t>
  </si>
  <si>
    <t>101-E-011 - REALIZAR MONTAGEM, DESMONTAGEM E MODIFICAÇÃO DE ANDAIMES PARA ATENDER A CIVIL COM USO DE FERRAMENTAS MANUAIS E APOIO DE CAMINHÃO PARA TRANSPORTE.</t>
  </si>
  <si>
    <t>113- MP- 01B: Desconectar cabos de alimentação do motor; Apoio de ferramentas manuais.                               ##### COM LIBRA ####   PARA HOJE NO TURNO DA NOITE</t>
  </si>
  <si>
    <t xml:space="preserve">0101-P-0010A - REALIZAR REMOÇÃO DA BOMBA COM USO DE FERRAMENTAS MANUAIS, APOIO DE MAQUINA DE CAMPO E FURADEIRA PNEUMÁTICA.
</t>
  </si>
  <si>
    <t>0001-V-019A - REMOVER VÁLVULA DO DRENO EXTERNO DO VASO COM USO DE FERRAMENTAS MANUAIS</t>
  </si>
  <si>
    <t xml:space="preserve">0001-V-0019A - APOIO DE ELETRICA PARA LANCAR CABOS, LIGAR/DESLIGAR, ENERGISAR EXAUSTORES, PAINEIS, SISAR E LUMINARIAS.
</t>
  </si>
  <si>
    <t>0016-PI-0009, 0016-PI-0010: MANUTENÃÂÃÂO PREVENTIVA CONFORME NR-13, COM USO DE FERRAMENTAS MANUAIS.</t>
  </si>
  <si>
    <t>UN-0001 - 01-TE-24 IREVISAR MALHA / INDICAÃÃO / REAPERTO, COM USO DE FERRAMENTAS MANUAIS.</t>
  </si>
  <si>
    <t xml:space="preserve">UN-0001 - 0001-TI-0301 (01-P-08A) REVISÃO INDICAÃÃO / SUBSTITUIR INSTRUMENTO, COM USO DE FERRAMENTAS MANUAIS.
</t>
  </si>
  <si>
    <t xml:space="preserve">UN-0001 - 0001-PI-0312 (01-P-08B) REVISAR / CALIBRAR / SUBSTITUIR MANÃMETRO, COM USO DE FERRAMENTASMANUAIS.
</t>
  </si>
  <si>
    <t xml:space="preserve">UN-0001 - 0001-LT-0011: REVISAR TRANSMISSOR / MALHA, COM USO DE FERRAMENTAS MANUAIS.
</t>
  </si>
  <si>
    <t xml:space="preserve">UN-0001 0001-TE-0177 /0001-TE-0178 (01-E-07A/B): DESCONECTAR TERMOPARES, COM USO DE FERRAMENTAS MANUAIS.
</t>
  </si>
  <si>
    <t>0001-V-019A - REALIZAR JATEAMENTO E PINTURA DO VASO INTERNO COM USO DE FERRAMENTAS MANUAIS, LIXADEIRA E ABRASIVAS. APOIO DE ELETRICA, CAMINHAO, EMPILHADEIRA, CAMINHAO ABASTECEDOR, COMPRESSOR.</t>
  </si>
  <si>
    <t xml:space="preserve">0101-P-0010A - REALIZAR REMOÇÃO DA BOMBA/CARCAÇA COM USO DE FERRAMENTAS MANUAIS, APOIO DE MAQUINA DE CAMPO E FURADEIRA PNEUMÁTICA.
</t>
  </si>
  <si>
    <t>0001-V-019A - APOIO DE CAMINHÃO ABASTECEDOR PARA O COMPRESSOR COM USO DE FERRAMENTAS MANUAIS</t>
  </si>
  <si>
    <t>0101-P-0010A - MONTAR PAU DE CARGA E TRAVAR SUPORTE DE MOLAS COM USO DE FERRAMENTAS MANUAIS E APOIO DE CAMINHÃO PARA TRANSPORTE DE MATERIAIS</t>
  </si>
  <si>
    <t>0001-F-0001 - REALIZAR PREVENTIVA DE QUEIMADORES COM USO DE FERRAMENTAS MANUAIS</t>
  </si>
  <si>
    <t>0002-F-0001 - REALIZAR PREVENTIVA DE QUEIMADORES COM USO DE FERRAMENTAS MANUAIS</t>
  </si>
  <si>
    <t>0001-V-019A - REALIZAR JATEAMENTO E PINTURA DO VASO INTERNO COM USO DE FERRAMENTAS MANUAIS, LIXADEIRA E ABRASIVAS. APOIO DE ELETRICA, ANDAIME, CAMINHAO, EMPILHADEIRA, CAMINHAO ABASTECEDOR, COMPRESSOR.</t>
  </si>
  <si>
    <t>0102-P-0002A/B - 0102-P-0005A/B: INSTALAR REMOVIVEIS COM USO DE FERRAMENTAS MANUAIS E FURADEIRA</t>
  </si>
  <si>
    <t>102-P-05A/B E 102-P-02A/B:
MONTAGEM / DESMONTAGEM E MODIFICAÇÃO DE ANDAIME, COM USO DE FERRAMENTAS MANUAIS, COM APOIO DE CAMINHÃO.</t>
  </si>
  <si>
    <t>4000-PN-0041: INSTALAR FIBRA ÓPTICA, COM USO DE FERRAMENTAS MANUAIS</t>
  </si>
  <si>
    <t xml:space="preserve">113-MP-01B: Desconectar cabos de alimentação do motor; Apoio de ferramentas manuais.                                                                 ####### COM LIBRA ##### </t>
  </si>
  <si>
    <t>0001-V-0019A - REALIZAR JATEAMENTO E PINTURA DO VASO INTERNO COM USO DE FERRAMENTAS MANUAIS, LIXADEIRA E ABRASIVAS. APOIO DE ELETRICA, ANDAIME, CAMINHAO, EMPILHADEIRA, CAMINHAO ABASTECEDOR, COMPRESSOR.</t>
  </si>
  <si>
    <t>102-P-05A/B - 102-P-02A/B: MONTAGEM / DESMONTAGEM E MODIFICAÇÃO DE ANDAIME COM USO DE FERRAMENTAS MANUAIS COM APOIO DE CAMINHÃO.</t>
  </si>
  <si>
    <t>4160-BT-02 (PREV. ANUAL): REALIZAR MANUTENÇÃO PREVENTIVA NOS BANCOS DE BATERIAS, COM ATIVIDADES DE INSPEÇÃO DE ELEMENTOS, REPOSIÇÃO DO NÍVEL DE ELETRÓLITO, MEDIÇÕES E LIMPEZA DE POLOS. UTILIZAÇÃO DE FERRAMENTAS MANUAIS E MULTÍMETRO.</t>
  </si>
  <si>
    <t>14-BT-01 (PREV. SEMESTRAL): REALIZAR MANUTENÇÃO PREVENTIVA NOS BANCOS DE BATERIAS, COM ATIVIDADES DE INSPEÇÃO DE ELEMENTOS, REPOSIÇÃO DO NÍVEL DE ELETRÓLITO, MEDIÇÕES E LIMPEZA DE POLOS. UTILIZAÇÃO DE FERRAMENTAS MANUAIS E MULTÍMETRO.</t>
  </si>
  <si>
    <t>215-BT-03 (PREV. SEMESTRAL): REALIZAR MANUTENÇÃO PREVENTIVA NOS BANCOS DE BATERIAS, COM ATIVIDADES DE INSPEÇÃO DE ELEMENTOS, REPOSIÇÃO DO NÍVEL DE ELETRÓLITO, MEDIÇÕES E LIMPEZA DE POLOS. UTILIZAÇÃO DE FERRAMENTAS MANUAIS E MULTÍMETRO.</t>
  </si>
  <si>
    <t>215-BT-01 (PREV. SEMESTRAL): REALIZAR MANUTENÇÃO PREVENTIVA NOS BANCOS DE BATERIAS, COM ATIVIDADES DE INSPEÇÃO DE ELEMENTOS, REPOSIÇÃO DO NÍVEL DE ELETRÓLITO, MEDIÇÕES E LIMPEZA DE POLOS. UTILIZAÇÃO DE FERRAMENTAS MANUAIS E MULTÍMETRO.</t>
  </si>
  <si>
    <t>01-V-03A : REALIZAR COLETA DE ÓLEO MINERAL ISOLANTE DO CHOPPER, TRAFO, RETIFICADOR, COM APOIO DE FERRAMENTAS MANUAIS E ESCADA.</t>
  </si>
  <si>
    <t xml:space="preserve">UN-0123 - APOIO A PARTIDA - CALIBRAR / SUBSTITUIR INSTRUMENTOS, COM USO DE FERRAMENTAS MANUAIS.
</t>
  </si>
  <si>
    <t>U423: RETIRADA DE PLASTICO REFERENTE A TORRE, COM USO DE FERRAMENTAS MANUAIS.</t>
  </si>
  <si>
    <t xml:space="preserve">0123-TGP-0001B: realizar ajustes e testes (mangotes e tubulaçoes, trocadores de óleo, bomba de óleo, redutor e mancais da turbina) com o uso de ferramentas manuais. 
</t>
  </si>
  <si>
    <t xml:space="preserve">PT 07: TRANSPORTAR BANCO DE BATERIA E RETIFICADOR PROVISÓRIO COM APOIO DE EMPILHADEIRA PT-07 PARA GALPÃO DO EI, DESCONECTAR E RETIRAR CABOS DO RETIFICADOR, BANCO DE BATERIA PROVISÓRIO E PAINEL AUXILIAR 125 VCC( 07-PN-06); COM APOIO DE FERRAMENTAS MANUAIS </t>
  </si>
  <si>
    <t>015-PN-0002 REVISAR CIRCUITO DE ILUMINAÇÃO COM ATIVIDADES DE TROCA DE LÂMPADAS,LUMINÁRIAS E REATORES, COM APOIO DE ESCADA PORTÁTIL E FERRAMENTAS MANUAIS.</t>
  </si>
  <si>
    <t>UN-0123 - APOIO A PARTIDA - CALIBRAR / SUBSTITUIR INSTRUMENTOS, COM USO DE FERRAMENTAS MANUAIS.</t>
  </si>
  <si>
    <t>UN-0023 - 0023-FT-0003: REVISAR MALHA / CALIBRAR / SUBSTIRUIR TRANSMISSOR, COM USO DE FERRAMENTAS MANUAIS.</t>
  </si>
  <si>
    <t xml:space="preserve"> 0136-PN-018 (0136-XAL-072): REPARAR/SANAR ALARME, COM USO DE FERRAMENTAS MANUAIS.</t>
  </si>
  <si>
    <t xml:space="preserve"> 221-MP-12A: REPARAR FALHA DE COMUNICAÇÃO, COM USO DE FERRAMENTAS MANUAIS.</t>
  </si>
  <si>
    <t>4180-PN-53L: REALIZAR INSPEÇÃO VISUAL NO SISTEMA DE ALIMENTAÇÃO DO PAINEL.</t>
  </si>
  <si>
    <t>121-HV-803B: Revisar circuito de alimentação 440V da válvula; Apoio de megômetro e ferramentas manuais.                                       ####### com libra ###</t>
  </si>
  <si>
    <t>121-MP-13A: Revisar circuito de comando; Apoio de ferramentas manuais.</t>
  </si>
  <si>
    <t>215-PN-20: Realizar a termografia no painel; Apoio de câmera termográfica e ferramentas manuais.</t>
  </si>
  <si>
    <t xml:space="preserve"> 31- HS-02(31-PN-42): Revisar central, testar funcionamento e substituir detector de fumaça, com as atividades de interligação de cabos, desmontagem/montagem de eletroduto e suportes; Apoio de furadeira elétrica, escada portátil e ferramentas manuais.</t>
  </si>
  <si>
    <t>UN-0123 - 0123-MP-0002A: INSPECIONAR / SUBSTITUIR INSTRUMENTO DANIFICADO, COM USO DE FERRAMENTAS MANUAIS.</t>
  </si>
  <si>
    <t>210-XE-701(#U210XI701): REPARAR FALHA DE COMUNICAÇÃO, COM USO DE FERRAMENTAS MANUAIS.</t>
  </si>
  <si>
    <t xml:space="preserve"> 0206-ME-0019B - REALIZAR A SUBSTITUIÇÃO DA POLIA E AJUSTE NO VENTILADOR COM USO DE FERRAMENTAS MANUAIS.
</t>
  </si>
  <si>
    <t xml:space="preserve">UN-0209: MANUTENÇÃO PREVENTIVA EM DETECTORES DE GÁS DA UNIDADE, COM USO DE GASES PADRÃO E FERRAMENTAS
MANUAIS.
</t>
  </si>
  <si>
    <t>0310-P-0019A - REVISAR MALHA / COMANDO / SOLENOIDE DA 0310-XV-0705, COM USO DE FERRAMENTAS MANUAIS.</t>
  </si>
  <si>
    <t xml:space="preserve">0323-TP-0001A - REALIZAR A INSTALAÇÃO DA TURBINETA, REVISÃO DO SISTEMA DE LUBRIFICAÇÃO, COM USO DE FERRAMENTAS MANUAIS, TALHA MANUAL E APOIO DE MAQUINA DE CAMPO/EMPILHADEIRA. 
</t>
  </si>
  <si>
    <t xml:space="preserve">0309-P-0092B - REALIZAR A INSTALAÇÃO DO MOTOR, AJUSTE  E TESTE COM USO DE FERRAMENTAS MANUAIS E APOIO DE MAQUINA DE CAMPO. 
</t>
  </si>
  <si>
    <t xml:space="preserve">0310-ME-0009B - REALIZAR INSPEÇÃO MECANICA E AJUSTE NO VENTILADOR COM USO DE FERRAMENTAS MANUAIS.
</t>
  </si>
  <si>
    <t>209-MP-02A: Revisar circuito de comando e gaveta; Apoio de ferramentas manuais.</t>
  </si>
  <si>
    <t>PARADA U0513
0513-C-0002: APOIO DE ELETRICISTA PARA INSTALACAO DE EQUIPAMENTOS PARA A PARADA DA UNIDADE, COM USO DE FERRAMENTAS MANUAIS E ELETRICAS. APOIO DE MAQUINA DE CAMPO.</t>
  </si>
  <si>
    <t>PARADA UN 513-C-02
APOIO DE CALDEIRARIA PARA DESMONTAGEM DAS GRADES LIMITADORAS, INTERNAS DA TORRE -COM USO DE FERRAMENTAS MANUAIS</t>
  </si>
  <si>
    <t>0513-C-0002: REALIZAR REMOÇÃO/LIMPEZA DOS RECHEIOS DA TORRE, COM USO DE FERRAMENTAS MANUAIS E APOIO DE MAQUINA DE CAMPO ( GUINDASTE, EMPILHADEIRA E CAMINHAO )</t>
  </si>
  <si>
    <t>0513-C-0002 U513 
REALIZAR REMOCAO/LIMPEZA DOS RECHEIOS INTERNOS DA TORRE, COM USO DE FERRAMENTAS  MANUAIS E APOIO DE MAQUINA DE CAMPO ( GUINDASTE, EMPILHADEIRA E CAMINHAO )</t>
  </si>
  <si>
    <t>513-E-06
REALIZAR ABERTURA DE TROCADOR, REMOCAO/INSTALAÇAO  DE COMPONENTES , ABERTURA DE TROCADOR, REALIZAR TH , COM USO DE FERRAMENTAS MANUAIS E APOIO DE MAQUINA DE CAMPO ( GUINDASTE ,EMPILHADEIRA E CAMINHAO )</t>
  </si>
  <si>
    <t>"513-E-03
REALIZAR ABERTURA DE TROCADOR, REMOCAO/INSTALAÇAO  DE COMPONENTES , ABERTURA DE TROCADOR,REMOVER FEIXE-  REALIZAR TH , COM USO DE FERRAMENTAS MANUAIS E APOIO DE MAQUINA DE CAMPO ( GUINDASTE ,EMPILHADEIRA E CAMINHAO )"</t>
  </si>
  <si>
    <t>HDT 1: MANUTENÇÃO PREVENTIVA NO 0210PT0129 CONFORME NR-13, COM USO DE FERRAMENTAS MANUAIS.</t>
  </si>
  <si>
    <t xml:space="preserve">0310-PCV-0501 REMOVER PCV COM USO DE FERRAMENTAS MANUAIS.
</t>
  </si>
  <si>
    <t>513-E-06: 
REALIZAR REMOCAO/INSTALACAO DE RAQUETES, CONFORME OPERACAO, COM USO DE FERRAMENTAS MANUAIS.</t>
  </si>
  <si>
    <t>PARA DA U0513
0513-E-0003
REALIZAR REMOCAO/INSTALACAO DE RAQUETES , CONFORME INDICACAO DA OPERACAO, COM USO DE FERRAMENTAS MANUAIS</t>
  </si>
  <si>
    <t>413- MP- 04A: Revisar circuito de comando e gaveta; Apoio de ferramentas manuais.</t>
  </si>
  <si>
    <t xml:space="preserve">0409-PV-0002 REMOVER VALVULAS COM USO DE FERRAMENTAS MANUAIS E APOIO DE EMPILHADEIRA.
</t>
  </si>
  <si>
    <t xml:space="preserve">UN-0310 - 0310-LT-0901A: REVISAR INDICAÇÃO / RESSELAR FORA, COM USO DE FERRAMENTAS MANUAIS.
</t>
  </si>
  <si>
    <t>PARADA U0513
0513-C-0002
APOIO DE CALDERARIA PARA SUPORTACAO DOS BANDEIJAMENTOS E GRADES, COM USO DE FERRAMENTAS MANUAIS , COM CORTE , SOLDA E ESMERILHAMENTO, APOIO DE ELETRICA E ENDS</t>
  </si>
  <si>
    <t>0210-PT-0149 (DESPRESSURIZAÇÃO DO 0210-V-0008): MANUTENÇÃO PREVENTIVA CONFORME NR-13, COM USO DE FERRAMENTAS
MANUAIS.</t>
  </si>
  <si>
    <t>UN-0310 - 0310-LT-0901B: REVISAR INDICAÇÃO / RESSELAR FORA, COM USO DE FERRAMENTAS MANUAIS.</t>
  </si>
  <si>
    <t>0210-PT-0150 (DESPRESSURIZAÇÃO DO 0210-V-0008): MANUTENÇÃO PREVENTIVA CONFORME NR-13, COM USO DE FERRAMENTAS
MANUAIS.</t>
  </si>
  <si>
    <t>0210-PT-0148 (DESPRESSURIZAÇÃO DO 0210-V-0008): MANUTENÇÃO PREVENTIVA CONFORME NR-13, COM USO DE FERRAMENTAS
MANUAIS.</t>
  </si>
  <si>
    <t>0210-PT-0014A (210-F-001): MANUTENÇÃO PREVENTIVA CONFORME NR-13, COM USO DE FERRAMENTAS
MANUAIS.</t>
  </si>
  <si>
    <t>0513-PSV-0028/ 029 / 030 REALIZAR MONTAGEM , MODIFICACAO E DESMONTAGEM DE ANDAIME, COM USO DE FERRAMENTAS MANUAIS E APOIO DE CAMINHAO PARA TRANSPORTE DE MATERIAL</t>
  </si>
  <si>
    <t xml:space="preserve">0210-PT-0014B (210-F-001): MANUTENÇÃO PREVENTIVA CONFORME NR-13, COM USO DE FERRAMENTAS
MANUAIS.
</t>
  </si>
  <si>
    <t>0210-PT-0014C (210-F-001): MANUTENÇÃO PREVENTIVA CONFORME NR-13, COM USO DE FERRAMENTAS
MANUAIS.</t>
  </si>
  <si>
    <t>0513-PSV-0021 REALIZAR MONTAGEM, MODIFICACAO E DEMONTAGEM DE ANDAIME,  COM USO DE FERRAMENTAS MANUAIS E APOIO DE CAMINHAO PARA TRANSPORTE DE MATERIAL</t>
  </si>
  <si>
    <t xml:space="preserve">0513-PSV-0021 REMOVER PSV COM USO FERRAMENTAS MANUAIS.
</t>
  </si>
  <si>
    <t xml:space="preserve">0513-PSV-0042 REMOVER PSV COM USO FERRAMENTAS MANUAIS.
</t>
  </si>
  <si>
    <t xml:space="preserve">0513-PSV-0028 REMOVER PSV COM USO FERRAMENTAS MANUAIS.
</t>
  </si>
  <si>
    <t xml:space="preserve">0513-PSV-0029 REMOVER PSV COM USO FERRAMENTAS MANUAIS.
</t>
  </si>
  <si>
    <t xml:space="preserve">0513-PSV-0030 REMOVER PSV COM USO FERRAMENTAS MANUAIS.
</t>
  </si>
  <si>
    <t>513-PSV-0042 REALIZAR MONTAGEM, MODIFICACAO E DESMONTAGEM DE ANDAIME, COM USO DE FERRAMENTAS MANUAIS E APOIO DE CAMINHAO PARA TRANSPORTE DE MATERIAL</t>
  </si>
  <si>
    <t>52-Z-08: REVISAR ILUMINAÇÃO CABINE DO OPERADOR COM ATIVIDADES DE TROCA DE LÂMPADAS,LUMINÁRIAS E REATORES, COM APOIO DE PLATAFORMA ELEVATORIA ESCADA PORTÁTIL E FERRAMENTAS MANUAIS.</t>
  </si>
  <si>
    <t xml:space="preserve">0054-K-0001A - REALIZAR MANUTENÇÃO, SUBSTITUIÇÃO DE SELO COM USO DE FERRAMENTAS MANUAIS E TALHA MANUAL. 
</t>
  </si>
  <si>
    <t>UN-0054 - 0054-K-0001A: SUBSTITUIR MANÔMETROS / TERMÔMETROS, COM USO DE FERRAMENTAS MANUAIS.</t>
  </si>
  <si>
    <t>52-R-01C - REALIZAR PRÉ-MONTAGEM / MONTAGEM DE REMOVÍVEIS DA CALOTA SUPERIOR DO REATOR COM USO DE FERRAMENTAS MANUAIS E FURADEIRA ELÉTRICA COM APOIO ELETRICISTA.
*** EM SERVIÇOS A QUENTE NA ÁREA INDUSTRIAL, PORTAR MULTIGAS (GX) ***</t>
  </si>
  <si>
    <t>UN-0052 - 0052-TE-0048 (52-R-01) LH TOPO: REVISAR MALHA / INDICAÇÃO COM USO DE FERRAMENTAS MANUAIS.</t>
  </si>
  <si>
    <t xml:space="preserve">0052 ÁREA QUENTE - SERVIÇOS DE CONTINGÊNCIA MANSERV - REALIZAR PREPARAÇÃO E PINTURA NA UNIDADE CONFORME  INDICAÇÃO DA FISCALIZAÇÃO PETROBRAS E OPERAÇÃO COM USO DE FERRAMENTAS MANUAIS E PLATAFORMA ELEVATÓRIA.
</t>
  </si>
  <si>
    <t xml:space="preserve">0052 ÁREA QUENTE - SERVIÇOS DE CONTINGÊNCIA MANSERV - EXECUÇÃO DE PREPARAÇÃO E PINTURA NA UNIDADE CONFORME  INDICAÇÃO DA FISCALIZAÇÃO PETROBRAS E OPERAÇÃO COM USO DE FERRAMENTAS MANUAIS E PLATAFORMA ELEVATÓRIA.
</t>
  </si>
  <si>
    <t>COQUE 53/54/223 ÁREA FRIA SERVIÇOS DE CONTINGÊNCIA MANSERV: EXECUÇÃO DE PREPARAÇÃO E PINTURA NA UNIDADE CONFORME INDICAÇÃO DA FISCALIZAÇÃO PETROBRAS E OPERAÇÃO, COM USO DE LIXADEIRA, FERRAMENTAS MANUAIS E APOIO DE PLATAFORMA ELEVÁTORIA.</t>
  </si>
  <si>
    <t>0052-Z-0008: APOIO CALDEIRARIA / SOLDADOR AO ED PARA TROCAR, PICOTAR CABOS DA PONTE PARA DESCARTE COM USO DE CORTE, SOLDA, ESMERILHAMENTO, MAÇARICO E FERRAMENTAS MANUAIS COM APOIO DE ELÉTRICA.</t>
  </si>
  <si>
    <t>0055-CT-0101: REALIZAR MONTAGEM, MODIFICAÇÃO E DESMONTAGEM DE ANDAIME COM USO DE FERRAMENTAS MANUAIS.</t>
  </si>
  <si>
    <t>0052-V-0006: REALIZAR MONTAGEM, MODIFICAÇÃO E DESMONTAGEM ANDAIME P/ ILUMINAÇÃO COM USO DE FERRAMENTAS MANUAIS.</t>
  </si>
  <si>
    <t xml:space="preserve">TE - PETRÓLEO - 27-A-01C/A - Sacar cubo do misturador com uso de ferramentas manuais.
</t>
  </si>
  <si>
    <t>UN-0031 - 0031-MP-2001E: INSTALAÇÃO DOS INSTRUMENTOS DE MONITORAMENTO DO MOTOR, COM USO DE FERRAMENTAS MANUAIS.</t>
  </si>
  <si>
    <t>28-MP-11A: Revisar circuito de comando; Apoio de ferramentas manuais.                                                                                       #### PARA HOJE NO TURNO DA NOITE #####</t>
  </si>
  <si>
    <t xml:space="preserve">39-MP-107A: Revisar circuito de comando e testes; Apoio de ferramentas manuais.                                                           ##### sem libra #####       </t>
  </si>
  <si>
    <t>31-MP-2001E: Revisar circuito de comando; Apoio de ferramentas manuais.</t>
  </si>
  <si>
    <t>31-MP-2001C: Conectar cabos de alimentação do motor; Apoio de megômetro e ferramentas manuais.           ##### PARA SÁBADO 03/09/2022 ###  COM LIBRA</t>
  </si>
  <si>
    <t>52-MK1E-01A: Desconectar/conectar, testar cabos e motor; Apoio de megômetro, micromímetro e ferramentas manuais.                  ##### COM LIBRA ####</t>
  </si>
  <si>
    <t>REALIZAR RETIRADA BAGS E 5S NA BACIA.</t>
  </si>
  <si>
    <t>0029-LT-0003: REALIZAR MONTAGEM/MODIFICAÇÃO E DESMONTAGEM DE ANDAIME, COM USO DE FERRAMENTAS MANUAIS E
APOIO DE CAMINHÃO.</t>
  </si>
  <si>
    <t>0029-LT-0003: SUBSTITUIR/REPARAR VÁLVULA, COM USO FERRAMENTAS MANUAIS, COM CORTE SOLDA E ESMERILHAMENTO E
ENDS.</t>
  </si>
  <si>
    <t>TE - ETDI: 32 - BAC - REALIZAR INSTALAÇÃO DE GUARDA CORPO, APOIO DE CALDEIRARIA, COM USO DE FERRAMENTAS
MANUAIS, COM CORTE E SOLDA RECOLHIMENTO DE MATERIAIS.</t>
  </si>
  <si>
    <t>INSPEÇÃO</t>
  </si>
  <si>
    <t>REALIZAR REMOÇÃO DE PAINEIS E MATERIAIS ELETRICOS, DESMONTAGEM DE ANDAIMES E 5S NO PATIO.</t>
  </si>
  <si>
    <t>PÁTIO DE BOMBAS: REVISAR CIRCUITO DE ILUMINAÇÃO COM ATIVIDADES DE TROCA DE LÂMPADAS,LUMINÁRIAS E REATORES, COM APOIO DE PLATAFORMA ELEVATÓRIA ESCADA PORTÁTIL E FERRAMENTAS MANUAIS.</t>
  </si>
  <si>
    <t xml:space="preserve">UN-0029 - 0029-LT-0003: REMOVER / CALIBRAR BOIA COM USO DE FERRAMENTAS MANUAIS.
</t>
  </si>
  <si>
    <t xml:space="preserve">UN-0029: MANUTENÇÃO PREVENTIVA EM DETECTORES DE GÁS DA UNIDADE, COM USO DE GASES PADRÃO E FERRAMENTAS
MANUAIS.
</t>
  </si>
  <si>
    <t>4050-PN-025L[RS02]: REPARAR FALHA FONTE, COM USO DE FERRAMENTAS MANUAIS.</t>
  </si>
  <si>
    <t xml:space="preserve">4090-PN-0001: REALIZAR BACKUP DO SERVIDOR IMPRESSÃO, COM USO DE FERRAMENTAS MANUAIS.
</t>
  </si>
  <si>
    <t>REALIZAR ADEQUACAO DE ACESSO A BACIA, MOBILIZACAO E INSTALACAO DE CAIXA DE CONTENCAO E EQUIPAMENTO
ELETRICO, PAINEIS, EXAUSTORES, LUMINÁRIAS E REMOCAO DE DORMENTES NA BACIA .</t>
  </si>
  <si>
    <t>UN-0029 - 0029-PT-0008(29V1B): REVISAR MALHA / REVISAR / REMOVER / CALIBRAR TRANSMISSOR / REVISAR TOMADAS, COM USO DE FERRAMENTAS MANUAIS.</t>
  </si>
  <si>
    <t xml:space="preserve">UN-0027 - 0027-LT-0001A: REVISAR INDICAÇÃO FALHA / FALHA NO RADAR, COM USO DE FERRAMENTAS MANUAIS.
</t>
  </si>
  <si>
    <t>0109-PSV-0010 - DESMONTAR ANDAIME DA PSV COM USO DE FERRAMENTAS MANUAIS E APOIO DE CAMINHÃO PARA TRANSPORTE DE MATERIAIS</t>
  </si>
  <si>
    <t>0103-FV-186 - MONTAR ANDAIME PARA ATENDER INSTRUMENTAÇÃO COM USO DE FERRAMENTAS MANUAIS E APOIO DE CAMINHÃO PARA TRANSPORTE DE MATERIAIS</t>
  </si>
  <si>
    <t>0109-PI-0147: DESMONTAR ANDAIME COM USO DE FERRAMENTAS MANUAIS E APOIO DE CAMINHÃO PARA TRANSPORTE DE MATERIAIS</t>
  </si>
  <si>
    <t>0003-PI-0602 - MONTAR ANDAIME PARA ATENDER INSTRUMENTAÇÃO COM USO DE FERRAMENTAS MANUAIS E APOIO DE CAMINHÃO PARA TRANSPORTE DE MATERIAIS</t>
  </si>
  <si>
    <t xml:space="preserve">UN-0003 - REVISAR/SUBSTITUIR SOLENOIDE DO COMANDO DE ACIONAMENTO DA "VÁLVULA AZUL" DO 0003-Z-0026. COM USO DE FERRAMENTAS MANUAIS.
</t>
  </si>
  <si>
    <t xml:space="preserve">0103-FV-0186 REMOVER VALVULA COM USO DE FERRAMENTAS MANUAIS E APOIO DE MAQUINA DE CAMPO.
</t>
  </si>
  <si>
    <t>04- MP-02B: Revisar circuito de comando e gaveta; Apoio de ferramentas manuais.                                                                                       #### PARA HOJE NO TURNO DA NOITE #####</t>
  </si>
  <si>
    <t>UN-0104: MANUTENÇÃO PREVENTIVA EM DETECTORES DE GÁS DA UNIDADE, COM USO DE FERRAMENTAS MANUAIS.</t>
  </si>
  <si>
    <t>CCF1: REMOVER VÁLVULA DE DESCARTE DE CATALISADOR DO 0003-Z-0026 PARA REVISÃO COM USO DE FERRAMENTAS MANUAIS.</t>
  </si>
  <si>
    <t>0001-AT-0011: CALIBRAÇÃO DE ANALISADOR DE OXIGÊNIO RESIDUAL, COM UTILIZAÇÃO DE CILINDROS DE GASES PADRÕES, USO DE FERRAMENTAS MANUAIS, CARRINHO DE TRANSPORTE DE CILINDROS.
TRANSPORTE DE CILINDROS DE GASES DO ESTACIONAMENTO DE VEÍCULOS MOTORIZADOS ATÉ O LOCAL DE CONEXÃO DE MANGUEIRA AO TUBING.</t>
  </si>
  <si>
    <t>4000-PN-0042 (RS04-CIC): REPARAR FALHA NA ROTA B DO LOOP 2 COM USO DE FERRAMENTAS MANUAIS.</t>
  </si>
  <si>
    <t xml:space="preserve">UN-0001 - 0001-PI-0042 REMOVER / CALIBRAR / SUBSTITUIR MANÔMETRO, COM USO DE FERRAMENTAS MANUAIS.
</t>
  </si>
  <si>
    <t xml:space="preserve">UN-0101 - 0101-K-0001B: APOIO DE INSTRUMENTAÇÃO - REVISAR / REMOVER / CALIBRAR / SUBSTITUIR PRESSOSTATO, COM USO DE FERRAMENTAS MANUAIS
</t>
  </si>
  <si>
    <t>UN-0101 - 0101-PDT-0443: REVISAR MALHA / SOPRAR / DESOBSTRUIR TOMADAS COM USO DE FERRAMENTAS MANUAIS.</t>
  </si>
  <si>
    <t>4000-PN-0041: INSTALAR FIBRA ÓPTICA COM USO DE FERRAMENTAS MANUAIS</t>
  </si>
  <si>
    <t>113-MP-03B: REVISAR MALHA E LÓGICA DE COMANDO, COM USO DE FERRAMENTAS MANUAIS</t>
  </si>
  <si>
    <t>113-MP-03B: Revisar circuito de comando; Apoio de ferramentas manuais.</t>
  </si>
  <si>
    <t>01-V-03A: Completar nível de óleo do transformador; Apoio de bomba de óleo e ferramentas manuais.                                                                                ##### COM LIBRA ####</t>
  </si>
  <si>
    <t>0001-V-019A - PREPARAR/ESCOVAR O DISTRIBUIDOR INTERNO DO VASO COM USO DE FERRAMENTAS MANUAIS, LIXADEIRA, ABRASIVAS. APOIO DE ELÉTRICA.</t>
  </si>
  <si>
    <t>0101-P-0010A - DESTRAVAR SUPORTE DE MOLAS DA BOMBA COM USO DE FERRAMENTAS MANUAIS E APOIO DE ANDAIME.</t>
  </si>
  <si>
    <t>0102-P-006A - RETOQUE DE PINTURA NO BLOQUEIO DO DRENO PI COM USO DE FERRAMENTAS MANUAIS</t>
  </si>
  <si>
    <t>0102-P-006A - DESMONTAR BANCADA DE ANDAIME COM USO DE FERRAMENTAS MANUAIS E APOIO DE CAMINHÃO PARA TRANSPORTE DE MATERIAIS</t>
  </si>
  <si>
    <t>0114-PT/PI-0032: MANUTENÇÃO PREVENTIVA, COM USO DE FERRAMENTAS MANUAIS.</t>
  </si>
  <si>
    <t xml:space="preserve">0004-LT-0108: MANUTENÇÃO PREVENTIVA, COM USO DE FERRAMENTAS MANUAIS.
</t>
  </si>
  <si>
    <t xml:space="preserve">UN-0136 - 0136-FT-0001: SUBSTITUIR IHM, COM USO DE FERRAMENTAS MANUAIS.
</t>
  </si>
  <si>
    <t>00-TF-02: INSPECIONAR/REPARAR VAZAMENTO DE ÓLEO MINERAL ISOLANTE NO PRIMÁRIO/SECUNDÁRIO/RADIADORES. COM APOIO DE ESCADA PORTÁTIL E FERRAMENTAS MANUAIS</t>
  </si>
  <si>
    <t>UN-0409 - 0409-F-0002: REVISAR PILOTO QUEIMADOR E01, COM USO DE FERRAMENTAS MANUAIS.</t>
  </si>
  <si>
    <t>306-PT-1031B (COMPRESSOR F&amp;G): MANUTENÇÃO PREVENTIVA CONFORME NR-13, COM USO DE FERRAMENTAS MANUAIS.</t>
  </si>
  <si>
    <t xml:space="preserve">0306-PT-1131B (COMPRESSOR F&amp;G): MANUTENÇÃO PREVENTIVA CONFORME NR-13, COM USO DE FERRAMENTAS MANUAIS.
</t>
  </si>
  <si>
    <t>0306-PT-1131A (COMPRESSOR F&amp;G): MANUTENÇÃO PREVENTIVA CONFORME NR-13, COM USO DE FERRAMENTAS MANUAIS.</t>
  </si>
  <si>
    <t>0306-PT-0102 (SAÍDA DO 306-V-12 PARA DEA): MANUTENÇÃO PREVENTIVA CONFORME NR-13, COM USO DE FERRAMENTAS
MANUAIS.</t>
  </si>
  <si>
    <t xml:space="preserve">52-R-01A - REALIZAR A REMOÇÃO/INSTALAÇÃO DA MANGUEIRA DO SISTEMA HIDRAULICO DE FUNDO COM USO DE FERRAMANTAS MANUAIS.
</t>
  </si>
  <si>
    <t xml:space="preserve">52-R-01C - REALIZAR A REMOÇÃO/INSTALAÇÃO DA MANGUEIRA DO SISTEMA HIDRAULICO DE FUNDO COM USO DE FERRAMANTAS MANUAIS.
</t>
  </si>
  <si>
    <t>TE - ESCUROS - EMED E AV.B - COMPLEMENTAR: # REALIZAR LIMPEZA DA AREA, CAPINA MANUAL, RECOLHIMENTO DE MATERIAL; # REMOÇÃO E RECOMPOSIÇÃO DO ISOLAMENTO; # PREPARAÇÃO E PINTURA NA TUBOVIA, GUARDA CORPO, PONTILHÃO E CORRIMÃO. @COM APOIO DE CAMINHÃO, ANDAIMES, GUINDASTE, EMPILHADEIRA, FERRAMENTAS MANUAIS/MECÂNICAS E REGISTRO FOTOGRAFICO</t>
  </si>
  <si>
    <t>0029-LAH-0010 (0029-F-2003): MANUTENÇÃO PREVENTIVA COM USO DE FERRAMENTAS MANUAIS.</t>
  </si>
  <si>
    <t>0029-LG-0009 (0029-F-2003): MANUTENÇÃO PREVENTIVA COM USO DE FERRAMENTAS MANUAIS</t>
  </si>
  <si>
    <t>0113-FT-0011 - MONTAR ANDAIME COM USO DE FERRAMENTAS MANUAIS E APOIO DE CAMINHÃO PARA TRANSPORTE DE MATERIAIS</t>
  </si>
  <si>
    <t>MONTAR ANDAIME NO 0016-PI-0005/0006 COM USO DE FERRAMENTAS MANUAIS E APOIO DE CAMINHÃO PARA TRANSPORTE DE MATERIAIS</t>
  </si>
  <si>
    <t>0016-PI-0031, 0016-PI-0005: MANUTENÇÃO PREVENTIVA CONFORME NR-13, COM USO DE FERRAMENTAS MANUAIS.</t>
  </si>
  <si>
    <t>136-P-04A PQT 26688: REALIZAR MONTAGEM, MODIFICAÇÃO E DESMONTAGEM DE ANDAIME, COM USO DE FERRAMENTAS MANUAIS E APOIO DE CAMINHÃO PARA TRANSPORTE DE MATERIAIS.</t>
  </si>
  <si>
    <t>221-TG-01: REALIZAR MONTAGEM, MODIFICAÇÃO E DESMONTAGEM DE ANDAIME, COM USO DE FERRAMENTAS MANUAIS E APOIO DE CAMINHÃO PARA TRANSPORTE DE MATERIAIS.</t>
  </si>
  <si>
    <t>U-0123: REALIZAR MONTAGEM DESMONTAGEM E MODIFICAÇÃO DE ANDAIME PARA ILUMINAÇÃO, COM USO DE FERRAMENTAS MANUAIS E APOIO DE CAMINHÃO.</t>
  </si>
  <si>
    <t>0023-Z-0009/10 
REALIZAR APOIO DE CALDEIRARIA COM USO DE FERRAMENTAS MANUAIS,L CORTE E SOLDA, APOIO DE MAQUINA, CAMINHÃO MUNCK E APOIO DE ELÉTRICA.</t>
  </si>
  <si>
    <t>03-F-03: REALIZAR PREPARAÇÃO E PINTURA DOS SUPORTES PARA SUBSTITUIÇÃO DA LINHA, COM USO DE FERRAMENTAS MANUAIS.</t>
  </si>
  <si>
    <t xml:space="preserve">0047-XV-0101C - INSTALAR VÁLVULA COM USO DE FERRAMENTAS MANUAIS.
</t>
  </si>
  <si>
    <t xml:space="preserve">0047-MP-1101B - Instalar motor e bomba com apoio de maquina de campo e uso de ferramentas manuais.
</t>
  </si>
  <si>
    <t xml:space="preserve">0123-TGP-0001B: realizar ajustes e testes (mangotes e tubulações, trocadores de óleo, bomba de óleo, redutor e mancais da turbina) com o uso de ferramentas manuais. 
</t>
  </si>
  <si>
    <t xml:space="preserve">CCL-05 QDL-01/02 : Realizar manutenção preventiva elétrica sistema iluminação com atividades de limpeza, reaperto conexões, teste funcional, inspeção visual, troca de lâmpadas e reatores; Apoio escada portátil e ferramentas manuais. </t>
  </si>
  <si>
    <t>221- TG- 01: Remover AVR; Apoio de megômetro e ferramentas manuais.</t>
  </si>
  <si>
    <t xml:space="preserve">UN-0123 - 123-TGP-0001B: REPARAR SENSORES ROTAÇÃO, COM USO DE FERRAMENTAS MANUAIS.
</t>
  </si>
  <si>
    <t>205-PL- 04: Corrigir ponto quente no painel; Apoio de ferramentas manuais.                                                                                   ###### Com libra ###</t>
  </si>
  <si>
    <t xml:space="preserve">UN-0121 - 0121-HV-803B: REVISAR COMANDO VÁLVULA, COM USO DE FERRAMENTAS MANUAIS.
</t>
  </si>
  <si>
    <t xml:space="preserve">UN-0121 - 0121-MP-0013A: REVISAR INSTRUMENTAÇÃO, COM USO DE FERRAMENTA MANUAIS.
</t>
  </si>
  <si>
    <t>121-HV-803B: Medir tensão de alimentação 440V da válvula; Apoio de ferramentas manuais.</t>
  </si>
  <si>
    <t>0023-MZ-0001/0002: REALIZAR APOIO DE CALDEIRARIA, COM USO DE FERRAMENTAS MANUAIS, APOIO DE FERRAMENTAS ABRASIVAS, CORTE E SOLDA, APOIO DE ELeTRICA, CAMINHaO PARA TRANSPORTE E GUINDASTE.</t>
  </si>
  <si>
    <t xml:space="preserve">0136-Z-0002A - Instalar pino sacrifício com uso de ferramentas manuais.
</t>
  </si>
  <si>
    <t>123-TP-0001B: REMOVER/ RECOMPOR ISOLAMENTO,COM USO DE FERRAMENTAS MANUAIS</t>
  </si>
  <si>
    <t>UN-0025 - 0025-Z-0100: REPARO TEMPERATURA, COM USO DE FERRAMENTAS MANUAIS.</t>
  </si>
  <si>
    <t>UN-0125 - 0125-Z-0001A: ALARME LP (BAIXO PRESSÃO) RETIDO, COM USO DE FERRAMENTAS MANUAIS.</t>
  </si>
  <si>
    <t>221-MP-12A, 221-MP-5A, 221-MP-16: REPARAR FIBRA ÓPTICA, COM USO DE FERRAMENTAS MANUAIS.</t>
  </si>
  <si>
    <t>PARADA UN 513-C-02
APOIO DE CALDEIRARIA PARA DESMONTAGEM DAS GRADES LIMITADORAS, INTERNAS DA TORRE -COM USO DE FERRAMENTAS MANUAIS, CORTE E SOLDA E APOIO DE RESGATISTA
********ESPAÇO CONFINADO**********</t>
  </si>
  <si>
    <t xml:space="preserve">0306-MK-0024B - REALIZAR A SUBSTITUIÇÃO DA CORREIA COM USO DE FERRAMENTAS MANUAIS. 
</t>
  </si>
  <si>
    <t>0206-FE-0933: REALIZAR REMOÇÃO ANDAIME PARA ACESSO AO VAZAMENTO DE VAPOR DE ALTA, COM USO DE FERRAMENTAS MANUAIS E APOIO DE CAMINHÃO PARA TRANSPORTE DE MATERIAL</t>
  </si>
  <si>
    <t>0513-PSV-0021 REALIZAR MONTAGEM, MODIFICAÇÃO E DESMONTAGEM DE ANDAIME,  COM USO DE FERRAMENTAS MANUAIS E APOIO DE CAMINHÃO PARA TRANSPORTE DE MATERIAL.</t>
  </si>
  <si>
    <t>0513-PSV-0030: REALIZAR MONTAGEM, MODIFICAÇÃO E DESMONTAGEM ANDAIME COM USO DE FERRAMENTAS MANUAIS COM APOIO DE CAMINHÃO PARA TRANSPORTE MATERIAIS.</t>
  </si>
  <si>
    <t>0310-XV-0502A/B: REALIZAR MONTAGEM, MODIFICAÇÃO E DESMONTAGEM ANDAIME (PAU DE CARGA) COM USO DE FERRAMENTAS MANUAIS COM APOIO DE CAMINHÃO PARA TRANSPORTE MATERIAIS.</t>
  </si>
  <si>
    <t>U-513: 
513-E-03: REALIZAR INSTALAÇÃO DE COMPONENTES/FEIXE  REALIZAR TESTE HIDROSTÁTICO (TH), COM USO DE FERRAMENTAS MANUAIS, COMA APOIO DE MAQUINA DE CAMPO, ( GUINDASTE, EMPILHADEIRA, CAMINHÃO E CAMINHÃO MUNCK )</t>
  </si>
  <si>
    <t>REALIZAR MONTAGEM, MODIFICACAO E DESMONTAGEM DE ANDAIME, COM USO DE FERRAMENTAS MANUAIS E APOIO DE CAMINHAO PARA TRANSPORTE DE MATERIAL. 
0513-C-0002
0513-E-0006
0513-E-0003</t>
  </si>
  <si>
    <t>0513-C-0002: REALIZAR REMOÇÃO  E LIMPEZA DOS RECHEIOS DA TORRE, COM USO DE FERRAMENTAS MANUAIS E APOIO DE MAQUINA DE CAMPO ( GUINDASTE, EMPILHADEIRA E CAMINHAO ),E RESGATISTAS.
********ESPAÇO CONFINADO********</t>
  </si>
  <si>
    <t>206-ME-12B: Realizar a preventiva elétrica, com a atividade de testar sensor de vibração; Apoio de ferramentas manuais.</t>
  </si>
  <si>
    <t>0513-E-0003 U513
REALIZAR  MONTAGEM DOS COMPONENTES E REALIZAR TESTE HIDROSTÁTICO, COM USO DE FERRAMENTAS MANUAIS E APOIO DE MAQUINA DE CAMPO E APOIO DE ELÉTRICA.</t>
  </si>
  <si>
    <t>309-MP-92B: CONECTAR CABOS DE FORÇA COM APOIO DE FERRAMENTAS MANUAIS.</t>
  </si>
  <si>
    <t>U-513: 
513-E-03: REALIZAR HIDROJATO NO FEIXE, COM USO DE FERRAMENTAS MANUAIS, COMA APOPIO DE MÁQUINA DE HIDROJATO, MAQUINA DE CAMPO, ( GUINDASTE, EMPILHADEIRA, CAMINHÃO E CAMINHÃO MUNCK )</t>
  </si>
  <si>
    <t xml:space="preserve">CCF-II : Realizar manutenção preventiva elétrica sistema iluminação emergência com atividades de limpeza, reaperto conexões, teste funcional, inspeção visual, troca de lâmpadas e reatores; Apoio escada portátil e ferramentas manuais. </t>
  </si>
  <si>
    <t>CCF 1 - REALIZAR PINTURA NO LOCAIS INDICADOS PELA OPERAÇÃO COM USO DE FERRAMENTAS MANUAIS</t>
  </si>
  <si>
    <t>UN-0113 - 0113-MP-0003B: VERIFICAR PARTIDA INDEVIDA, COM USO DE FERRAMENTAS MANUAIS.</t>
  </si>
  <si>
    <t>REVAMP - URE U114
POSICIONAMENTO DAS PLATAFORMAS NO LOCAL, COM USO DE FERRAMENTAS MANUAIS, APOIO DE ANDAIMES E CAMINHÃO PARA TRANSPORTE.</t>
  </si>
  <si>
    <t xml:space="preserve">0103-TP-0027A - REALIZAR INSPEÇÃO NOS MANCAIS DA TURBINA COM USO DE FERRAMENTAS MANUAIS.
</t>
  </si>
  <si>
    <t xml:space="preserve">04- MP-02B: Revisar circuito de comando e gaveta; Apoio de ferramentas manuais.            </t>
  </si>
  <si>
    <t xml:space="preserve">0103-TP-0027A - REALIZAR TESTE DE TRIP DA TURBINA COM USO DE FERRAMENTAS MANUAIS.
</t>
  </si>
  <si>
    <t xml:space="preserve">0103-PDV-0111: REAPERTAR MOLAS PRATO E INSPECIONAR NÍVEL DO RESERVATÓRIO COM ACOMPANHAMENTO DA OPERAÇÃO E USO DE FERRAMENTAS MANUAIS. 
</t>
  </si>
  <si>
    <t>CCF 1 - REALIZAR REMOÇÃO/RECOMPOSIÇÃO DE ISOLAMENTO TÉRMICO CONFORME SOLICITAÇÃO DA OPERAÇÃO COM USO DE FERRAMENTAS MANUAIS E FURADEIRA</t>
  </si>
  <si>
    <t>HC - LAJE DO REATOR
DEMOLICAO DE CONCRETO, EXECUCAO DE FORMA, ARMACAO, CONCRETAGEM E PINTURA DAS BASES DOS REATORES COM USO DE FERRAMENTAS MANUAIS.</t>
  </si>
  <si>
    <t>HC - LAJE DO REATOR 
DEMOLICAO DE CONCRETO, EXECUCAO DE FORMA, ARMACAO, CONCRETAGEM E PINTURA DAS BASES DOS REATORES COM USO DE FERRAMENTAS MANUAIS.</t>
  </si>
  <si>
    <t>52-Z-08: Preventiva Elétrica Semanal/Quinzenal com atividades Inspeção externa, Inspeção das escovas e dos anéis coletores (Motor - Abertura e fechamento da caçamba, Motor – Içamento da caçamba,Motor – Translação da ponte e  Motor – Translação do carro) com apoio de ferramentas manuais.</t>
  </si>
  <si>
    <t xml:space="preserve">55-CT-101 /102 /103 /104 /105 /106 /107 /108 /109: Preventiva Elétrica Bimestral  Teste funcional, inspeção visual, Inspeção visual da caixa de ligação e do cabo de aço(Alarme Sonoro,  Botoeira de liga-desliga em modo local, Chave fim de curso esticador da correia,  Desalinhamento,  Motor da correia,  Pull-cord e Relé Sub-velocidade) Com Apoio ferramentas manuais </t>
  </si>
  <si>
    <t xml:space="preserve">0054-LG-0005B REMOVER LG COM USO DE FERRAMENTAS MANUAIS.
</t>
  </si>
  <si>
    <t>52-Z-08: Desmontar escovas do barramento; Apoio de ferramentas manuais.                                                                          ####### COM LIBRA E ATERRAMENTO DO BARRAMENTO #####</t>
  </si>
  <si>
    <t>UN-0052 - 0052-PSL-0614: VERIFICAR ATUADOR, COM USO DE FERRAMENTAS MANUAIS.</t>
  </si>
  <si>
    <t>0052-XV-0022/0036: REALIZAR DESMONTAGEM ANDAIME (PAU DE CARGA) COM USO DE FERRAMENTAS MANUAIS.</t>
  </si>
  <si>
    <t>0052-R-0001B: POSICIONAR CAMINHÃO DE HIDROJATO/BOMBA HIDROJATO E ALOCAR MANGUEIRAS/DISPOSITIVOS DO HIDROJATO PARA O 6º ANDAR COM USO DE FERRAMENTAS MANUAIS E APOIO DE TRATOR.</t>
  </si>
  <si>
    <t>0052-R-0001B - ABRIR/FECHAR FLANGES CEGOS DA LINHA DE TOPO NO 6º ANDAR DO REATOR PARA HIDROJATO COM USO HI-TORQUE E FERRAMENTAS MANUAIS.</t>
  </si>
  <si>
    <t xml:space="preserve">0052-R-0001B - REALIZAR HIDROJATO NA LINHA DE TOPO NO 6° ANDAR COM USO DE FERRAMENTAS MANUAIS E APOIO DE BOMBA DE HIDROJATO.
</t>
  </si>
  <si>
    <t>0052-R-0001B - REALIZAR FECHAMENTO DOS FLANGES CEGOS DA LINHA DE TOPO NO 6º ANDAR DO REATOR PARA HIDROJATO COM USO HI-TORQUE E FERRAMENTAS MANUAIS.</t>
  </si>
  <si>
    <t xml:space="preserve">0052-R-0001B - REMOVER CAMINHÃO DE HIDROJATO/BOMBA HIDROJATO/MANGUEIRAS/DISPOSITIVOS DO HIDROJATO DO 6º ANDAR COM USO DE FERRAMENTAS MANUAIS E APOIO DE TRATOR.
</t>
  </si>
  <si>
    <t>52-MK3E-01A: Revisar circuito de comando; Apoio de ferramentas manuais.                                                                           ##### PARA HOJE NO TURNO DA NOITE ####</t>
  </si>
  <si>
    <t>52-MK3E-01A: Desconectar /conectar, testar cabos de alimentação e motor; Apoio de megômetro e ferramentas manuais.   ##### PARA HOJE NO TURNO DA NOITE ####</t>
  </si>
  <si>
    <t>52-MK1E-01A: Revisar circuito de comando e medir corrente; Apoio de ferramentas manuais.                                                       #### PARA HOJE NO TURNO DA NOITE ###</t>
  </si>
  <si>
    <t>52-MK1E-01A: Desconectar /conectar, testar cabos de alimentação e motor; Apoio de megômetro e ferramentas manuais.   ##### PARA HOJE NO TURNO DA NOITE ####</t>
  </si>
  <si>
    <t>052-HV-0010: AJUSTAR CHAVES FIM DE CURSO, COM USO DE FERRAMENTAS MANUAIS.</t>
  </si>
  <si>
    <t>31-MP-2001C: REALIZAR MONTAGEM, MODIFICAÇÃO E DESMONTAGEM DE ANDAIME, COM USO DE FERRAMENTAS MANUAIS E APOIO DE CAMINHÃO PARA TRANSPORTE DE MATERIAIS.</t>
  </si>
  <si>
    <t xml:space="preserve">TE - PETROLEO - 0027-TQ-0001H - INSPEÇÃO REALIZAR PREPARAÇÃO E REALIZAÇÃO DE ENSAIOS NÃO DESTRUTIVOS (END'S, EVS, LP, US) NO INTERIOR E EXTERIOR DO TANQUE COM O USO DE FERRAMENTAS MANUAIS. </t>
  </si>
  <si>
    <t>31-MP-2001E: Fixar suportes e selar unidade seladora; Apoio de furadeira elétrica, gerador elétrico. e uso de ferramentas manuais. ### SEM LIBRA###</t>
  </si>
  <si>
    <t>TE - U-31 SAO - PISCINA 02 REALIZAR MONTAGEM/DESMONTAGEM E MODIFICACAO DE ANDAIMES. COM USO DE FERRAMENTAS MANUAIS. COM APOIO DE CAMINHAO PARA TRANSPORTE DE MATERIAIS</t>
  </si>
  <si>
    <t>28-FL-10 - APOIO A LIMPEZA DE FILTRO COM O USO DE FERRAMENTAS MANUAIS.</t>
  </si>
  <si>
    <t xml:space="preserve">0031-MP-2001C - ACOPLAR MOTOR E REALIZAR AJUSTES E TESTES COM USO DE FERRAMENTAS MANUAIS.
</t>
  </si>
  <si>
    <t>TE - GLP - 28-MP-11A: Revisar circuito de comando; Apoio de ferramentas manuais.</t>
  </si>
  <si>
    <t xml:space="preserve">0039-K-0001A - Realizar instalação do compressor com uso de ferramentas manuais e apoio de maquina de campo.
</t>
  </si>
  <si>
    <t xml:space="preserve"># REALIZAR REMOÇÃO DE PAINEIS E MATERIAIS ELETRICOS, DESMONTAGEM DE ANDAIMES E 5S NO PATIO.
</t>
  </si>
  <si>
    <t xml:space="preserve"># INSTALAR RAQUETE
</t>
  </si>
  <si>
    <t xml:space="preserve"> REALIZAR ADEQUACAO DE ACESSO A BACIA, MOBILIZACAO E INSTALACAO DE CAIXA DE CONTENCAO E EQUIPAMENTO
ELETRICO, PAINEIS, EXAUSTORES, LUMINÁRIAS E REMOCAO DE DORMENTES NA BACIA .</t>
  </si>
  <si>
    <t xml:space="preserve"># REALIZAR LIMPEZA DA AREA, CAPINA MANUAL, RECOLHIMENTO DE MATERIAL;
# REMOÇÃO E RECOMPOSIÇÃO DO ISOLAMENTO;
# PREPARAÇÃO E PINTURA NA TUBOVIA, GUARDA CORPO, PONTILHÃO E CORRIMÃO.
</t>
  </si>
  <si>
    <t>TE-ETDI
UNID 31 SAO - PISCINA 02
REALIZAR DESBASTE NO TRILHO DOS RASPADORES DA PISCINA COM USO DE FERRAMENTAS MANUAIS E CORTE E SOLDA, APOIO DE FERRAMENTAS ABRASIVAS.</t>
  </si>
  <si>
    <t>TE - FINAL - AV B - INTERLIGACAO S10 EXECUCAO DE ESTACA RAIZ, FORMA, ARMACAOO, CONCRETAGEM, GRAUTEAMENTO, ESCAVACAO MECANICA E/OU MANUAL, DEMOLICAO E REATERRO. COM USO DE FERRAMENTAS MANUAIS, BETONEIRA, GERADOR, CAMINHAO MUNCK E BOMBA D'AGUA. APOIO DE ELETRICISTA, TOPOGRAFIA E RETROESCAVADEIRA.</t>
  </si>
  <si>
    <t>108-AT-450: REMOÇÃO DA SONDA, INSTALAR SONDA, COM USO DE MULTÍMETRO DIGITAL, TRABALHO EM DUPLA, USO DE FERRAMENTAS MANUAIS E MATERIAIS.</t>
  </si>
  <si>
    <t>106-AT-450: REMOÇÃO DA SONDA, INSTALAR SONDA, COM USO DE MULTÍMETRO DIGITAL, TRABALHO EM DUPLA, USO DE FERRAMENTAS MANUAIS E MATERIAIS.</t>
  </si>
  <si>
    <t>01-V-03A: REALIZAR COLETA DE ÓLEO MINERAL ISOLANTE DO CHOPPER, TRAFO, RETIFICADOR, COM APOIO DE FERRAMENTAS MANUAIS E ESCADA.</t>
  </si>
  <si>
    <t xml:space="preserve">0002-P-0004A - REALIZAR INSTALAÇÃO DA BOMBA COM USO DE FERRAMENTAS MANUAIS E APOIO DE MAQUINA DE CAMPO.
</t>
  </si>
  <si>
    <t xml:space="preserve">0008-P-0010B - REALIZAR REMOÇÃO DA BOMBA COM USO DE FERRAMENTAS MANUAIS E APOIO DE MAQUINA DE CAMPO.
</t>
  </si>
  <si>
    <t xml:space="preserve">102-P-02/05A/B - DESMONTAGEM DE ANDAIME NA LINHA DE SUCÇÃO COM O USO DE FERRAMENTAS MANUAIS E APOIO DE CAMINHÃO PARA TRANSPORTE DE MATERIAIS.
</t>
  </si>
  <si>
    <t>213-MP-02B: Revisar circuito de comando e medir corrente; Apoio de ferramentas manuais.</t>
  </si>
  <si>
    <t xml:space="preserve">0002-P-0004A - REALIZAR ALINHAMENTO DA BOMBA COM USO DE FERRAMENTAS MANUAIS.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</si>
</sst>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 h:mm;@"/>
  </numFmts>
  <fonts count="9" x14ac:knownFonts="1">
    <font>
      <sz val="11"/>
      <color theme="1"/>
      <name val="Calibri"/>
      <family val="2"/>
      <scheme val="minor"/>
    </font>
    <font>
      <sz val="8"/>
      <color theme="1"/>
      <name val="Arial"/>
      <family val="2"/>
    </font>
    <font>
      <b/>
      <sz val="14"/>
      <color rgb="FFC00000"/>
      <name val="Bahnschrift"/>
      <family val="2"/>
    </font>
    <font>
      <b/>
      <sz val="9"/>
      <color rgb="FFFF0000"/>
      <name val="Calibri"/>
      <family val="2"/>
      <scheme val="minor"/>
    </font>
    <font>
      <b/>
      <sz val="12"/>
      <name val="Calibri"/>
      <family val="2"/>
      <scheme val="minor"/>
    </font>
    <font>
      <b/>
      <sz val="10"/>
      <color theme="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right style="thin">
        <color auto="1"/>
      </right>
      <top style="thin">
        <color auto="1"/>
      </top>
      <bottom style="thin">
        <color auto="1"/>
      </bottom>
      <diagonal/>
    </border>
  </borders>
  <cellStyleXfs count="1">
    <xf numFmtId="0" fontId="0" fillId="0" borderId="0"/>
  </cellStyleXfs>
  <cellXfs count="41">
    <xf numFmtId="0" fontId="0" fillId="0" borderId="0" xfId="0"/>
    <xf numFmtId="14" fontId="0" fillId="0" borderId="0" xfId="0" applyNumberFormat="1"/>
    <xf numFmtId="0" fontId="0" fillId="0" borderId="0" xfId="0"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5" fillId="0" borderId="1" xfId="0" applyFont="1" applyBorder="1" applyAlignment="1">
      <alignment horizontal="center" vertical="center"/>
    </xf>
    <xf numFmtId="0" fontId="6" fillId="0" borderId="2" xfId="0" applyFont="1" applyBorder="1" applyAlignment="1">
      <alignment horizontal="center" vertical="center"/>
    </xf>
    <xf numFmtId="0" fontId="5" fillId="0" borderId="0" xfId="0" applyFont="1" applyAlignment="1">
      <alignment horizontal="center" vertical="top" wrapText="1"/>
    </xf>
    <xf numFmtId="0" fontId="5" fillId="0" borderId="0" xfId="0" applyFont="1" applyAlignment="1">
      <alignment horizontal="center" vertical="center"/>
    </xf>
    <xf numFmtId="0" fontId="5" fillId="0" borderId="11" xfId="0" applyFont="1" applyBorder="1" applyAlignment="1">
      <alignment horizontal="center" vertical="center"/>
    </xf>
    <xf numFmtId="0" fontId="7" fillId="0" borderId="12" xfId="0" applyFont="1" applyBorder="1" applyAlignment="1">
      <alignment horizontal="center" vertical="center"/>
    </xf>
    <xf numFmtId="0" fontId="8" fillId="0" borderId="0" xfId="0" applyFont="1" applyAlignment="1">
      <alignment horizontal="center" vertical="center"/>
    </xf>
    <xf numFmtId="0" fontId="0" fillId="0" borderId="0" xfId="0" applyAlignment="1">
      <alignment horizontal="center" vertical="top" wrapText="1"/>
    </xf>
    <xf numFmtId="0" fontId="0" fillId="0" borderId="0" xfId="0" applyAlignment="1">
      <alignment horizontal="left" vertical="top" wrapText="1"/>
    </xf>
    <xf numFmtId="0" fontId="7" fillId="0" borderId="12" xfId="0" applyFont="1" applyBorder="1" applyAlignment="1">
      <alignment horizontal="center" vertical="center" wrapText="1"/>
    </xf>
    <xf numFmtId="0" fontId="8" fillId="0" borderId="12" xfId="0" applyFont="1" applyBorder="1" applyAlignment="1">
      <alignment horizontal="center" vertical="center"/>
    </xf>
    <xf numFmtId="0" fontId="8" fillId="0" borderId="12" xfId="0" applyFont="1" applyBorder="1" applyAlignment="1">
      <alignment horizontal="center" vertical="center" wrapText="1"/>
    </xf>
    <xf numFmtId="0" fontId="8" fillId="0" borderId="6" xfId="0" applyFont="1" applyBorder="1" applyAlignment="1">
      <alignment horizontal="center" vertical="center"/>
    </xf>
    <xf numFmtId="0" fontId="8" fillId="0" borderId="6" xfId="0" applyFont="1" applyBorder="1" applyAlignment="1">
      <alignment horizontal="center" vertical="center" wrapText="1"/>
    </xf>
    <xf numFmtId="0" fontId="7" fillId="0" borderId="12" xfId="0" applyFont="1" applyBorder="1" applyAlignment="1">
      <alignment horizontal="center" vertical="top" wrapText="1"/>
    </xf>
    <xf numFmtId="0" fontId="8" fillId="0" borderId="12" xfId="0" applyFont="1" applyBorder="1" applyAlignment="1">
      <alignment horizontal="center" vertical="top" wrapText="1"/>
    </xf>
    <xf numFmtId="0" fontId="8" fillId="0" borderId="6" xfId="0" applyFont="1" applyBorder="1" applyAlignment="1">
      <alignment horizontal="center" vertical="top" wrapText="1"/>
    </xf>
    <xf numFmtId="0" fontId="8" fillId="3" borderId="12" xfId="0" applyFont="1" applyFill="1" applyBorder="1" applyAlignment="1">
      <alignment horizontal="center" vertical="center" wrapText="1"/>
    </xf>
    <xf numFmtId="0" fontId="8" fillId="3" borderId="12" xfId="0" applyFont="1" applyFill="1" applyBorder="1" applyAlignment="1">
      <alignment horizontal="center" vertical="top" wrapText="1"/>
    </xf>
    <xf numFmtId="0" fontId="8" fillId="3" borderId="12" xfId="0" applyFont="1" applyFill="1" applyBorder="1" applyAlignment="1">
      <alignment horizontal="center" vertical="center"/>
    </xf>
    <xf numFmtId="22" fontId="0" fillId="0" borderId="0" xfId="0" applyNumberFormat="1"/>
    <xf numFmtId="0" fontId="7" fillId="0" borderId="13" xfId="0" applyFont="1" applyBorder="1" applyAlignment="1">
      <alignment horizontal="center" vertical="center"/>
    </xf>
    <xf numFmtId="0" fontId="0" fillId="0" borderId="0" xfId="0" applyNumberFormat="1"/>
    <xf numFmtId="164" fontId="0" fillId="0" borderId="0" xfId="0" applyNumberFormat="1"/>
    <xf numFmtId="0" fontId="1" fillId="0" borderId="1" xfId="0" applyFont="1" applyBorder="1" applyAlignment="1">
      <alignment horizontal="left" vertical="center"/>
    </xf>
    <xf numFmtId="0" fontId="1" fillId="0" borderId="2" xfId="0" applyFont="1" applyBorder="1" applyAlignment="1">
      <alignment horizontal="left" vertical="center"/>
    </xf>
    <xf numFmtId="0" fontId="2" fillId="0" borderId="3" xfId="0" applyFont="1" applyBorder="1" applyAlignment="1">
      <alignment horizontal="center" vertical="center" wrapText="1"/>
    </xf>
    <xf numFmtId="0" fontId="2" fillId="0" borderId="8" xfId="0" applyFont="1" applyBorder="1" applyAlignment="1">
      <alignment horizontal="center" vertical="center" wrapText="1"/>
    </xf>
    <xf numFmtId="0" fontId="3" fillId="2" borderId="4"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4" fillId="0" borderId="5" xfId="0" applyFont="1" applyBorder="1" applyAlignment="1">
      <alignment horizontal="center" vertical="center" wrapText="1"/>
    </xf>
    <xf numFmtId="0" fontId="4" fillId="0" borderId="10" xfId="0" applyFont="1" applyBorder="1" applyAlignment="1">
      <alignment horizontal="center" vertical="center" wrapText="1"/>
    </xf>
    <xf numFmtId="22" fontId="1" fillId="0" borderId="6" xfId="0" applyNumberFormat="1" applyFont="1" applyBorder="1" applyAlignment="1">
      <alignment horizontal="left" vertical="center"/>
    </xf>
    <xf numFmtId="22" fontId="1" fillId="0" borderId="7" xfId="0" applyNumberFormat="1" applyFont="1" applyBorder="1" applyAlignment="1">
      <alignment horizontal="left" vertical="center"/>
    </xf>
  </cellXfs>
  <cellStyles count="1">
    <cellStyle name="Normal" xfId="0" builtinId="0"/>
  </cellStyles>
  <dxfs count="122">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rgb="FF000000"/>
        </left>
        <right style="medium">
          <color rgb="FF000000"/>
        </right>
        <top style="medium">
          <color rgb="FF000000"/>
        </top>
        <bottom style="medium">
          <color rgb="FF000000"/>
        </bottom>
      </border>
    </dxf>
    <dxf>
      <font>
        <strike val="0"/>
        <outline val="0"/>
        <shadow val="0"/>
        <u val="none"/>
        <vertAlign val="baseline"/>
        <sz val="9"/>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rgb="FF000000"/>
        </left>
        <right style="medium">
          <color rgb="FF000000"/>
        </right>
        <top style="medium">
          <color rgb="FF000000"/>
        </top>
        <bottom style="medium">
          <color rgb="FF000000"/>
        </bottom>
      </border>
    </dxf>
    <dxf>
      <font>
        <strike val="0"/>
        <outline val="0"/>
        <shadow val="0"/>
        <u val="none"/>
        <vertAlign val="baseline"/>
        <sz val="9"/>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rgb="FF000000"/>
        </left>
        <right style="medium">
          <color rgb="FF000000"/>
        </right>
        <top style="medium">
          <color rgb="FF000000"/>
        </top>
        <bottom style="medium">
          <color rgb="FF000000"/>
        </bottom>
      </border>
    </dxf>
    <dxf>
      <font>
        <strike val="0"/>
        <outline val="0"/>
        <shadow val="0"/>
        <u val="none"/>
        <vertAlign val="baseline"/>
        <sz val="9"/>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rgb="FF000000"/>
        </left>
        <right style="medium">
          <color rgb="FF000000"/>
        </right>
        <top style="medium">
          <color rgb="FF000000"/>
        </top>
        <bottom style="medium">
          <color rgb="FF000000"/>
        </bottom>
      </border>
    </dxf>
    <dxf>
      <font>
        <strike val="0"/>
        <outline val="0"/>
        <shadow val="0"/>
        <u val="none"/>
        <vertAlign val="baseline"/>
        <sz val="9"/>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outline="0">
        <left/>
        <right style="medium">
          <color indexed="64"/>
        </right>
      </border>
    </dxf>
    <dxf>
      <font>
        <strike val="0"/>
        <outline val="0"/>
        <shadow val="0"/>
        <u val="none"/>
        <vertAlign val="baseline"/>
        <sz val="9"/>
        <color theme="1"/>
        <name val="Calibri"/>
        <family val="2"/>
        <scheme val="minor"/>
      </font>
      <alignment horizontal="center" vertical="center" textRotation="0" wrapText="1" indent="0" justifyLastLine="0" shrinkToFit="0" readingOrder="0"/>
      <border outline="0">
        <right style="medium">
          <color indexed="64"/>
        </right>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color rgb="FFFF0000"/>
      </font>
    </dxf>
    <dxf>
      <font>
        <color rgb="FFFF0000"/>
      </font>
    </dxf>
    <dxf>
      <font>
        <color theme="0"/>
      </font>
      <fill>
        <patternFill>
          <bgColor rgb="FFFF0000"/>
        </patternFill>
      </fil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27" formatCode="dd/mm/yyyy\ hh:mm"/>
    </dxf>
    <dxf>
      <numFmt numFmtId="0" formatCode="General"/>
    </dxf>
    <dxf>
      <numFmt numFmtId="0" formatCode="General"/>
    </dxf>
    <dxf>
      <numFmt numFmtId="0" formatCode="General"/>
    </dxf>
    <dxf>
      <numFmt numFmtId="0" formatCode="General"/>
    </dxf>
    <dxf>
      <numFmt numFmtId="19" formatCode="dd/mm/yyyy"/>
    </dxf>
    <dxf>
      <numFmt numFmtId="27" formatCode="dd/mm/yyyy\ hh:mm"/>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27" formatCode="dd/mm/yyyy\ hh:mm"/>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19" formatCode="dd/mm/yyyy"/>
    </dxf>
    <dxf>
      <numFmt numFmtId="27" formatCode="dd/mm/yyyy\ hh:mm"/>
    </dxf>
    <dxf>
      <numFmt numFmtId="0" formatCode="General"/>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323850</xdr:colOff>
      <xdr:row>2</xdr:row>
      <xdr:rowOff>152400</xdr:rowOff>
    </xdr:from>
    <xdr:to>
      <xdr:col>5</xdr:col>
      <xdr:colOff>133350</xdr:colOff>
      <xdr:row>6</xdr:row>
      <xdr:rowOff>66675</xdr:rowOff>
    </xdr:to>
    <xdr:sp macro="[0]!selectallbutone" textlink="">
      <xdr:nvSpPr>
        <xdr:cNvPr id="2" name="Retângulo 1">
          <a:extLst>
            <a:ext uri="{FF2B5EF4-FFF2-40B4-BE49-F238E27FC236}">
              <a16:creationId xmlns:a16="http://schemas.microsoft.com/office/drawing/2014/main" id="{8E82DC73-D746-D26A-436D-1F7DD7955A64}"/>
            </a:ext>
          </a:extLst>
        </xdr:cNvPr>
        <xdr:cNvSpPr/>
      </xdr:nvSpPr>
      <xdr:spPr>
        <a:xfrm>
          <a:off x="5133975" y="533400"/>
          <a:ext cx="1028700" cy="676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2" xr16:uid="{ACF83E42-ABBA-44F2-B938-9C4C3D4E8978}" autoFormatId="16" applyNumberFormats="0" applyBorderFormats="0" applyFontFormats="0" applyPatternFormats="0" applyAlignmentFormats="0" applyWidthHeightFormats="0">
  <queryTableRefresh nextId="21">
    <queryTableFields count="7">
      <queryTableField id="5" name="DATA PROGRAMADA" tableColumnId="5"/>
      <queryTableField id="6" name="PT" tableColumnId="6"/>
      <queryTableField id="7" name="ESPECIALIDADE" tableColumnId="7"/>
      <queryTableField id="9" name="DESCRIÇÃO DA PT" tableColumnId="9"/>
      <queryTableField id="10" name="STATUS" tableColumnId="10"/>
      <queryTableField id="19" name="LOCAL" tableColumnId="19"/>
      <queryTableField id="20" name="DATA SOLICITAÇÃO"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6" connectionId="39" xr16:uid="{1FA68C19-3A0A-47F6-9313-B7B3D1E155EC}" autoFormatId="16" applyNumberFormats="0" applyBorderFormats="0" applyFontFormats="0" applyPatternFormats="0" applyAlignmentFormats="0" applyWidthHeightFormats="0">
  <queryTableRefresh nextId="8">
    <queryTableFields count="7">
      <queryTableField id="1" name="DATA PROGRAMADA" tableColumnId="1"/>
      <queryTableField id="2" name="PT" tableColumnId="2"/>
      <queryTableField id="3" name="ESPECIALIDADE" tableColumnId="3"/>
      <queryTableField id="4" name="DESCRIÇÃO DA PT" tableColumnId="4"/>
      <queryTableField id="5" name="STATUS" tableColumnId="5"/>
      <queryTableField id="6" name="LOCAL" tableColumnId="6"/>
      <queryTableField id="7" name="DATA SOLICITAÇÃO"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5" connectionId="22" xr16:uid="{FF94BA3C-9A0A-4208-87CE-20217C0422F9}" autoFormatId="16" applyNumberFormats="0" applyBorderFormats="0" applyFontFormats="0" applyPatternFormats="0" applyAlignmentFormats="0" applyWidthHeightFormats="0">
  <queryTableRefresh nextId="15">
    <queryTableFields count="7">
      <queryTableField id="9" name="DATA SOLICITAÇÃO" tableColumnId="7"/>
      <queryTableField id="1" name="DATA PROGRAMADA" tableColumnId="1"/>
      <queryTableField id="2" name="PT" tableColumnId="2"/>
      <queryTableField id="3" name="ESPECIALIDADE" tableColumnId="3"/>
      <queryTableField id="13" name="DESCRIÇÃO DA PT" tableColumnId="8"/>
      <queryTableField id="5" name="STATUS" tableColumnId="5"/>
      <queryTableField id="6" name="LOCAL"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4" connectionId="13" xr16:uid="{A7EF4AE3-E66B-4A8E-A37A-BB6E9F12EB49}" autoFormatId="16" applyNumberFormats="0" applyBorderFormats="0" applyFontFormats="0" applyPatternFormats="0" applyAlignmentFormats="0" applyWidthHeightFormats="0">
  <queryTableRefresh nextId="11">
    <queryTableFields count="8">
      <queryTableField id="1" name="DATA PROGRAMADA" tableColumnId="1"/>
      <queryTableField id="2" name="PT" tableColumnId="2"/>
      <queryTableField id="9" name="DATA DE LIBERAÇÃO NO CAMPO" tableColumnId="8"/>
      <queryTableField id="3" name="ESPECIALIDADE" tableColumnId="3"/>
      <queryTableField id="4" name="DESCRIÇÃO DA PT" tableColumnId="4"/>
      <queryTableField id="5" name="STATUS" tableColumnId="5"/>
      <queryTableField id="7" name="DATA SOLICITAÇÃO" tableColumnId="7"/>
      <queryTableField id="6" name="LOCAL"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3" connectionId="10" xr16:uid="{09284A60-A546-4F84-B9B6-26A70EE5B2F4}" autoFormatId="16" applyNumberFormats="0" applyBorderFormats="0" applyFontFormats="0" applyPatternFormats="0" applyAlignmentFormats="0" applyWidthHeightFormats="0">
  <queryTableRefresh nextId="8">
    <queryTableFields count="7">
      <queryTableField id="1" name="DATA PROGRAMADA" tableColumnId="1"/>
      <queryTableField id="2" name="PT" tableColumnId="2"/>
      <queryTableField id="3" name="ESPECIALIDADE" tableColumnId="3"/>
      <queryTableField id="4" name="DESCRIÇÃO DA PT" tableColumnId="4"/>
      <queryTableField id="5" name="STATUS" tableColumnId="5"/>
      <queryTableField id="6" name="LOCAL" tableColumnId="6"/>
      <queryTableField id="7" name="DATA SOLICITAÇÃO"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2" connectionId="11" xr16:uid="{44D93993-DA70-4602-849D-5C2060E14DC5}" autoFormatId="16" applyNumberFormats="0" applyBorderFormats="0" applyFontFormats="0" applyPatternFormats="0" applyAlignmentFormats="0" applyWidthHeightFormats="0">
  <queryTableRefresh nextId="10">
    <queryTableFields count="7">
      <queryTableField id="1" name="DATA PROGRAMADA" tableColumnId="1"/>
      <queryTableField id="2" name="PT" tableColumnId="2"/>
      <queryTableField id="3" name="ESPECIALIDADE" tableColumnId="3"/>
      <queryTableField id="7" name="DESCRIÇÃO DA PT" tableColumnId="4"/>
      <queryTableField id="5" name="STATUS" tableColumnId="5"/>
      <queryTableField id="6" name="LOCAL" tableColumnId="6"/>
      <queryTableField id="9" name="DATA SOLICITAÇÃO"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9" xr16:uid="{874DF266-C3D3-4396-ADD5-30C97638AAE5}" autoFormatId="16" applyNumberFormats="0" applyBorderFormats="0" applyFontFormats="0" applyPatternFormats="0" applyAlignmentFormats="0" applyWidthHeightFormats="0">
  <queryTableRefresh nextId="13">
    <queryTableFields count="8">
      <queryTableField id="1" name="ID" tableColumnId="1"/>
      <queryTableField id="2" name="DATA PROGRAMADA" tableColumnId="2"/>
      <queryTableField id="3" name="PT" tableColumnId="3"/>
      <queryTableField id="4" name="ESPECIALIDADE" tableColumnId="4"/>
      <queryTableField id="5" name="DESCRIÇÃO DA PT" tableColumnId="5"/>
      <queryTableField id="6" name="STATUS" tableColumnId="6"/>
      <queryTableField id="7" name="LOCAL" tableColumnId="7"/>
      <queryTableField id="8" name="DATA SOLICITAÇÃO"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776D2D-E99D-4D18-802F-2A982B88B29E}" name="DH" displayName="DH" ref="A1:G72" tableType="queryTable" totalsRowShown="0">
  <autoFilter ref="A1:G72" xr:uid="{EE776D2D-E99D-4D18-802F-2A982B88B29E}"/>
  <tableColumns count="7">
    <tableColumn id="5" xr3:uid="{E9BC4BD2-F3BD-4C52-B5B0-515195E4A55C}" uniqueName="5" name="DATA PROGRAMADA" queryTableFieldId="5" dataDxfId="121"/>
    <tableColumn id="6" xr3:uid="{D7190DFA-18DC-4C8A-9AA2-D6527A1FA30D}" uniqueName="6" name="PT" queryTableFieldId="6"/>
    <tableColumn id="7" xr3:uid="{72F752E4-E4AB-46B7-9422-E1CD97FF5D37}" uniqueName="7" name="ESPECIALIDADE" queryTableFieldId="7" dataDxfId="120"/>
    <tableColumn id="9" xr3:uid="{2D7A6FE2-DFB6-4924-8905-143332E71163}" uniqueName="9" name="DESCRIÇÃO DA PT" queryTableFieldId="9" dataDxfId="119"/>
    <tableColumn id="10" xr3:uid="{A28EEEC8-45F6-4B05-82BA-9411D6F94A19}" uniqueName="10" name="STATUS" queryTableFieldId="10" dataDxfId="118"/>
    <tableColumn id="19" xr3:uid="{7C6913DF-B493-49CA-B203-1DCA041A8BDB}" uniqueName="19" name="LOCAL" queryTableFieldId="19" dataDxfId="117"/>
    <tableColumn id="1" xr3:uid="{75A4DF35-B33E-4B6B-9AAD-61AA24737C46}" uniqueName="1" name="DATA SOLICITAÇÃO" queryTableFieldId="20" dataDxfId="11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0A69BAB-F664-4711-AB42-F6AE021037BC}" name="UT" displayName="UT" ref="A1:G207" tableType="queryTable" totalsRowShown="0">
  <autoFilter ref="A1:G207" xr:uid="{20A69BAB-F664-4711-AB42-F6AE021037BC}"/>
  <tableColumns count="7">
    <tableColumn id="1" xr3:uid="{CCFBAEF9-ABC1-4B3E-97B7-CA272B0D0E5E}" uniqueName="1" name="DATA PROGRAMADA" queryTableFieldId="1" dataDxfId="115"/>
    <tableColumn id="2" xr3:uid="{B5DE01D1-CEB4-48DF-9054-B62B8E980FE7}" uniqueName="2" name="PT" queryTableFieldId="2"/>
    <tableColumn id="3" xr3:uid="{4683CA55-2E3E-4915-87AB-E66A77B3597D}" uniqueName="3" name="ESPECIALIDADE" queryTableFieldId="3" dataDxfId="114"/>
    <tableColumn id="4" xr3:uid="{231325FB-C692-41FC-826B-58F5B6A925E7}" uniqueName="4" name="DESCRIÇÃO DA PT" queryTableFieldId="4" dataDxfId="113"/>
    <tableColumn id="5" xr3:uid="{0C4B368E-B6C3-4F54-8FD2-244849947656}" uniqueName="5" name="STATUS" queryTableFieldId="5" dataDxfId="112"/>
    <tableColumn id="6" xr3:uid="{19D58DDA-FECC-4105-8399-05493134B1F9}" uniqueName="6" name="LOCAL" queryTableFieldId="6" dataDxfId="111"/>
    <tableColumn id="7" xr3:uid="{A354CE9E-2B4F-4BE7-BB8C-0D175302F9BC}" uniqueName="7" name="DATA SOLICITAÇÃO" queryTableFieldId="7" dataDxfId="1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C609459-5ACB-4627-B70D-96E1E36AD372}" name="TE" displayName="TE" ref="A1:G165" tableType="queryTable" totalsRowShown="0">
  <autoFilter ref="A1:G165" xr:uid="{0C609459-5ACB-4627-B70D-96E1E36AD372}"/>
  <tableColumns count="7">
    <tableColumn id="7" xr3:uid="{BC11A2AE-2490-4926-8CCB-90DCC665CB71}" uniqueName="7" name="DATA SOLICITAÇÃO" queryTableFieldId="9" dataDxfId="109"/>
    <tableColumn id="1" xr3:uid="{4677F76B-CD5D-4194-B86C-DBE284C809DD}" uniqueName="1" name="DATA PROGRAMADA" queryTableFieldId="1" dataDxfId="108"/>
    <tableColumn id="2" xr3:uid="{845AE470-7DFD-40F9-9CF8-90867EEC1D3A}" uniqueName="2" name="PT" queryTableFieldId="2" dataDxfId="107"/>
    <tableColumn id="3" xr3:uid="{752B3895-72F5-448D-83C1-45D74F4E99E0}" uniqueName="3" name="ESPECIALIDADE" queryTableFieldId="3" dataDxfId="106"/>
    <tableColumn id="8" xr3:uid="{5D6D7216-1CE4-4F70-AAA0-E9A6BA8D7AA5}" uniqueName="8" name="DESCRIÇÃO DA PT" queryTableFieldId="13" dataDxfId="105"/>
    <tableColumn id="5" xr3:uid="{174DCF64-3E89-41F9-941A-D5FB0F01B280}" uniqueName="5" name="STATUS" queryTableFieldId="5" dataDxfId="104"/>
    <tableColumn id="6" xr3:uid="{695F11C6-7CE9-47ED-8A1D-D1DE48F597A5}" uniqueName="6" name="LOCAL" queryTableFieldId="6" dataDxfId="10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9E4A16-0583-4456-8AC6-CF45F577A8F9}" name="HDT" displayName="HDT" ref="A1:H160" tableType="queryTable" totalsRowShown="0">
  <autoFilter ref="A1:H160" xr:uid="{E49E4A16-0583-4456-8AC6-CF45F577A8F9}"/>
  <tableColumns count="8">
    <tableColumn id="1" xr3:uid="{DF0B6518-D1DD-45F3-A920-37EE2ADC042E}" uniqueName="1" name="DATA PROGRAMADA" queryTableFieldId="1" dataDxfId="102"/>
    <tableColumn id="2" xr3:uid="{695FB0A5-1385-46A0-8D17-556274E21643}" uniqueName="2" name="PT" queryTableFieldId="2"/>
    <tableColumn id="8" xr3:uid="{EC75F194-5337-4528-B1BD-6D6851C0BCE1}" uniqueName="8" name="DATA DE LIBERAÇÃO NO CAMPO" queryTableFieldId="9"/>
    <tableColumn id="3" xr3:uid="{79C77967-F7C6-4637-A8FC-2894CBE4D7C2}" uniqueName="3" name="ESPECIALIDADE" queryTableFieldId="3" dataDxfId="101"/>
    <tableColumn id="4" xr3:uid="{77DAD5F3-A3A5-4765-A610-CE2D67B17A14}" uniqueName="4" name="DESCRIÇÃO DA PT" queryTableFieldId="4" dataDxfId="100"/>
    <tableColumn id="5" xr3:uid="{25079AA7-C82D-46AC-A1E3-47B20F6CC6F0}" uniqueName="5" name="STATUS" queryTableFieldId="5" dataDxfId="99"/>
    <tableColumn id="7" xr3:uid="{2C7605F7-F508-43D0-8768-27C765CE7AC1}" uniqueName="7" name="DATA SOLICITAÇÃO" queryTableFieldId="7" dataDxfId="98"/>
    <tableColumn id="6" xr3:uid="{25DAAB2B-AC41-46DF-8B8B-8A7BE593FB38}" uniqueName="6" name="LOCAL" queryTableFieldId="6" dataDxfId="9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6FCA1F-769D-4555-A855-6DB6A2E73893}" name="CCF" displayName="CCF" ref="A1:G66" tableType="queryTable" totalsRowShown="0">
  <autoFilter ref="A1:G66" xr:uid="{696FCA1F-769D-4555-A855-6DB6A2E73893}"/>
  <tableColumns count="7">
    <tableColumn id="1" xr3:uid="{DA141976-FA78-4B90-8B0D-032928122E65}" uniqueName="1" name="DATA PROGRAMADA" queryTableFieldId="1" dataDxfId="96"/>
    <tableColumn id="2" xr3:uid="{E8438E37-8B1C-4988-A084-713F66D17E14}" uniqueName="2" name="PT" queryTableFieldId="2"/>
    <tableColumn id="3" xr3:uid="{7818C3E7-CE2D-467D-B7F2-335964586DA9}" uniqueName="3" name="ESPECIALIDADE" queryTableFieldId="3" dataDxfId="95"/>
    <tableColumn id="4" xr3:uid="{4A2CE2D1-B4FA-4A98-9555-FCFE28276E2F}" uniqueName="4" name="DESCRIÇÃO DA PT" queryTableFieldId="4" dataDxfId="94"/>
    <tableColumn id="5" xr3:uid="{22201086-1353-4059-9AC5-1B9EC104AC27}" uniqueName="5" name="STATUS" queryTableFieldId="5" dataDxfId="93"/>
    <tableColumn id="6" xr3:uid="{5825D779-8F0C-416E-B440-86D6B79EC608}" uniqueName="6" name="LOCAL" queryTableFieldId="6" dataDxfId="92"/>
    <tableColumn id="7" xr3:uid="{73922E30-E163-4547-9A71-F9BB2AF51A16}" uniqueName="7" name="DATA SOLICITAÇÃO" queryTableFieldId="7" dataDxfId="9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5BFC47-046B-47C0-9AAD-D10C84404124}" name="COQUE" displayName="COQUE" ref="A1:G96" tableType="queryTable" totalsRowShown="0">
  <autoFilter ref="A1:G96" xr:uid="{765BFC47-046B-47C0-9AAD-D10C84404124}"/>
  <tableColumns count="7">
    <tableColumn id="1" xr3:uid="{3508C235-2843-46D2-8E6F-F3DF4A765141}" uniqueName="1" name="DATA PROGRAMADA" queryTableFieldId="1" dataDxfId="90"/>
    <tableColumn id="2" xr3:uid="{2A70E827-9618-41E6-8B72-765688A5D254}" uniqueName="2" name="PT" queryTableFieldId="2"/>
    <tableColumn id="3" xr3:uid="{A8C3FAA2-39D6-4C14-BC65-0EC37C1F9CF2}" uniqueName="3" name="ESPECIALIDADE" queryTableFieldId="3" dataDxfId="89"/>
    <tableColumn id="4" xr3:uid="{6878DB9F-6724-4C61-9053-CDA84F75A5D5}" uniqueName="4" name="DESCRIÇÃO DA PT" queryTableFieldId="7" dataDxfId="88"/>
    <tableColumn id="5" xr3:uid="{A122FB85-5B95-464E-A36B-39987650DB77}" uniqueName="5" name="STATUS" queryTableFieldId="5" dataDxfId="87"/>
    <tableColumn id="6" xr3:uid="{56DB517A-CB18-44CA-AC37-1EE67C320F14}" uniqueName="6" name="LOCAL" queryTableFieldId="6" dataDxfId="86"/>
    <tableColumn id="7" xr3:uid="{D367CD4A-B07E-4C41-862E-A062F0BAA2BB}" uniqueName="7" name="DATA SOLICITAÇÃO" queryTableFieldId="9" dataDxfId="8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FB7FCE3-F840-4F0E-9EEA-12BB5BA1B911}" name="BASE_DADOS" displayName="BASE_DADOS" ref="A1:H761" tableType="queryTable" totalsRowShown="0">
  <autoFilter ref="A1:H761" xr:uid="{6FB7FCE3-F840-4F0E-9EEA-12BB5BA1B911}"/>
  <sortState xmlns:xlrd2="http://schemas.microsoft.com/office/spreadsheetml/2017/richdata2" ref="A2:H761">
    <sortCondition descending="1" ref="B1:B761"/>
  </sortState>
  <tableColumns count="8">
    <tableColumn id="1" xr3:uid="{A79A10F0-C93C-4D09-8109-75B502B1F2DC}" uniqueName="1" name="ID" queryTableFieldId="1"/>
    <tableColumn id="2" xr3:uid="{E642AA61-F1EB-4B80-9416-E0AF5982CEEA}" uniqueName="2" name="DATA PROGRAMADA" queryTableFieldId="2" dataDxfId="84"/>
    <tableColumn id="3" xr3:uid="{9915164C-5DEC-4171-9D44-D68F79E2D0EE}" uniqueName="3" name="PT" queryTableFieldId="3" dataDxfId="83"/>
    <tableColumn id="4" xr3:uid="{82423602-B637-4E2C-8D25-D1D887DD9005}" uniqueName="4" name="ESPECIALIDADE" queryTableFieldId="4" dataDxfId="82"/>
    <tableColumn id="5" xr3:uid="{B2CA47F8-A119-4B52-94AC-23FAA0F96A48}" uniqueName="5" name="DESCRIÇÃO DA PT" queryTableFieldId="5" dataDxfId="81"/>
    <tableColumn id="6" xr3:uid="{0A46FFD7-E114-42BA-976F-C53249DABE9B}" uniqueName="6" name="STATUS" queryTableFieldId="6" dataDxfId="80"/>
    <tableColumn id="7" xr3:uid="{6EFD607A-5E0D-4521-B3A1-6BB0CC42148E}" uniqueName="7" name="LOCAL" queryTableFieldId="7" dataDxfId="79"/>
    <tableColumn id="8" xr3:uid="{0610CB7A-8FA6-42FF-9FBE-5331242B904F}" uniqueName="8" name="DATA SOLICITAÇÃO" queryTableFieldId="8" dataDxfId="7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9CD6DE-F853-4C17-8E8B-2EF3B9B1561C}" name="Tabela8" displayName="Tabela8" ref="B3:H43" totalsRowShown="0" headerRowDxfId="74" dataDxfId="73" tableBorderDxfId="72">
  <tableColumns count="7">
    <tableColumn id="2" xr3:uid="{44A0A337-1146-4E72-90AB-3987235C5003}" name="PT" dataDxfId="71"/>
    <tableColumn id="3" xr3:uid="{B5FEF3FE-D1B0-4DAF-9F60-ABA6CF6A6AA2}" name="STATUS" dataDxfId="70"/>
    <tableColumn id="1" xr3:uid="{984C58C9-FBC7-48F3-9B80-C9EBC2185A8C}" name="ESPECIALIDADE" dataDxfId="69"/>
    <tableColumn id="6" xr3:uid="{F9B5C183-554D-4469-AA87-40F407F842B5}" name="DESCRIÇÃO DA PT" dataDxfId="68"/>
    <tableColumn id="4" xr3:uid="{BB7CDA70-77D0-49B0-8B61-FA138A1A0546}" name="MATRÍCULA" dataDxfId="67"/>
    <tableColumn id="7" xr3:uid="{278B5A1E-7282-4540-B484-96BFCFEA11A0}" name="HORA" dataDxfId="66"/>
    <tableColumn id="5" xr3:uid="{DD8AC5E7-763B-4905-8754-91631A9CC5DF}" name="ASSINATURA" dataDxfId="65"/>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41E9437-70A4-4AFD-96F0-3D245FD8B034}" name="Tabela810" displayName="Tabela810" ref="B3:H43" totalsRowShown="0" headerRowDxfId="61" dataDxfId="60" tableBorderDxfId="59">
  <tableColumns count="7">
    <tableColumn id="2" xr3:uid="{5B664864-B31D-4359-8FDE-D19F360D0A8E}" name="PT" dataDxfId="58"/>
    <tableColumn id="3" xr3:uid="{F81273C2-3A2D-4CA0-9B7F-F055BCB0C161}" name="STATUS" dataDxfId="57"/>
    <tableColumn id="1" xr3:uid="{655F637C-F826-404F-A34C-0873F8C770FA}" name="ESPECIALIDADE" dataDxfId="56"/>
    <tableColumn id="6" xr3:uid="{585874E8-9563-43AA-8460-92A14FDEDBE0}" name="DESCRIÇÃO DA PT" dataDxfId="55"/>
    <tableColumn id="4" xr3:uid="{1BB24E9E-E5C3-46EE-B8E7-3B4ACCAD04DB}" name="MATRÍCULA" dataDxfId="54"/>
    <tableColumn id="7" xr3:uid="{D7A003AA-817D-4C79-A1FA-AFB4340346D4}" name="HORA" dataDxfId="53"/>
    <tableColumn id="5" xr3:uid="{2DC05077-32B2-4972-8373-9BF9753E6189}" name="ASSINATURA" dataDxfId="52"/>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D619C3-78E3-4C1F-AE05-7992F8FC2C17}" name="Tabela81011" displayName="Tabela81011" ref="B3:H43" totalsRowShown="0" headerRowDxfId="48" dataDxfId="47" tableBorderDxfId="46">
  <tableColumns count="7">
    <tableColumn id="2" xr3:uid="{181143C8-7235-4C6F-B0C1-24998F3C33F2}" name="PT" dataDxfId="45"/>
    <tableColumn id="3" xr3:uid="{EF4D9AA8-474A-4F3F-9985-79956D2CCB1D}" name="STATUS" dataDxfId="44"/>
    <tableColumn id="1" xr3:uid="{D758F07C-390A-4A02-B34B-B561E82649B6}" name="ESPECIALIDADE" dataDxfId="43"/>
    <tableColumn id="6" xr3:uid="{95E1DDE9-B6A6-497E-BFD7-008FDDCA3F6C}" name="DESCRIÇÃO DA PT" dataDxfId="42"/>
    <tableColumn id="4" xr3:uid="{7F77D729-708C-412E-8408-1C5378510AC8}" name="MATRÍCULA" dataDxfId="41"/>
    <tableColumn id="7" xr3:uid="{67F20C5E-11E5-4A7E-8209-2E7A3F8BA936}" name="HORA" dataDxfId="40"/>
    <tableColumn id="5" xr3:uid="{EFCA8289-4FF0-4C79-AEA4-43923568568E}" name="ASSINATURA" dataDxfId="39"/>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201DBF6-CCBB-45B4-B8A9-B6749E935369}" name="Tabela8101112" displayName="Tabela8101112" ref="B3:H43" totalsRowShown="0" headerRowDxfId="35" dataDxfId="34" tableBorderDxfId="33">
  <tableColumns count="7">
    <tableColumn id="2" xr3:uid="{16B02D60-2438-4885-8A15-4FBEF29DC03B}" name="PT" dataDxfId="32"/>
    <tableColumn id="3" xr3:uid="{00769DD2-61EC-412C-81F1-1BF22CE503AE}" name="STATUS" dataDxfId="31"/>
    <tableColumn id="1" xr3:uid="{2FFD2E3D-FEE6-43D1-A491-60E00413AFA4}" name="ESPECIALIDADE" dataDxfId="30"/>
    <tableColumn id="6" xr3:uid="{C655799D-D227-4495-A83B-45DB7CB7A081}" name="DESCRIÇÃO DA PT" dataDxfId="29"/>
    <tableColumn id="4" xr3:uid="{76143B22-C34F-4293-A635-E0107A4189C1}" name="MATRÍCULA" dataDxfId="28"/>
    <tableColumn id="7" xr3:uid="{B5D7EBE4-1805-405B-BA26-181EB04348C5}" name="HORA" dataDxfId="27"/>
    <tableColumn id="5" xr3:uid="{14A96A5E-2AF1-4960-BFBC-503B2C31619D}" name="ASSINATURA" dataDxfId="26"/>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181E8A8-F09C-440E-97AA-0F4E0B6AF9BD}" name="Tabela810111213" displayName="Tabela810111213" ref="B3:H43" totalsRowShown="0" headerRowDxfId="22" dataDxfId="21" tableBorderDxfId="20">
  <tableColumns count="7">
    <tableColumn id="2" xr3:uid="{647330D0-E8E2-4997-A0AD-ED25E8F62E33}" name="PT" dataDxfId="19"/>
    <tableColumn id="3" xr3:uid="{067103B2-6644-4B5E-8CB7-F0DD1D207E1E}" name="STATUS" dataDxfId="18"/>
    <tableColumn id="1" xr3:uid="{1AD05AF3-01F0-454C-A297-4D267A1A92EF}" name="ESPECIALIDADE" dataDxfId="17"/>
    <tableColumn id="6" xr3:uid="{152C7DC2-64C1-4909-ADE1-76F5383BFB9B}" name="DESCRIÇÃO DA PT" dataDxfId="16"/>
    <tableColumn id="4" xr3:uid="{90D6EA6E-3012-4BBB-82CA-232A815FC0E0}" name="MATRÍCULA" dataDxfId="15"/>
    <tableColumn id="7" xr3:uid="{8C76DDD3-70F7-4ED7-86FD-674B55CB4EC1}" name="HORA" dataDxfId="14"/>
    <tableColumn id="5" xr3:uid="{6BF505FA-0EAF-41BC-843F-127AF7519094}" name="ASSINATURA" dataDxfId="13"/>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7E0B55-4EE2-4D15-8705-655709889A6E}" name="Tabela81011121314" displayName="Tabela81011121314" ref="B3:H43" totalsRowShown="0" headerRowDxfId="9" dataDxfId="8" tableBorderDxfId="7">
  <tableColumns count="7">
    <tableColumn id="2" xr3:uid="{AF07770B-6BBC-440B-8B5B-85462627BADB}" name="PT" dataDxfId="6"/>
    <tableColumn id="3" xr3:uid="{82DCAD69-57C3-479F-A9A4-4BD2896E11F5}" name="STATUS" dataDxfId="5"/>
    <tableColumn id="1" xr3:uid="{B7EFD093-7386-4B2C-B707-D8E7767593EE}" name="ESPECIALIDADE" dataDxfId="4"/>
    <tableColumn id="6" xr3:uid="{D65BF8FF-148D-4B5B-8E9C-DAD3A5CBC380}" name="DESCRIÇÃO DA PT" dataDxfId="3"/>
    <tableColumn id="4" xr3:uid="{99D868CC-278D-4564-935B-3CBD413BCF2D}" name="MATRÍCULA" dataDxfId="2"/>
    <tableColumn id="7" xr3:uid="{FF2128C6-886A-42CF-A04B-4FAB34C6981D}" name="HORA" dataDxfId="1"/>
    <tableColumn id="5" xr3:uid="{05087B2A-4390-4C46-A8E1-238239A6F1F5}" name="ASSINATURA" dataDxfId="0"/>
  </tableColumns>
  <tableStyleInfo name="TableStyleMedium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3A06-00DD-4369-99CB-78B7507B509A}">
  <sheetPr codeName="Planilha6"/>
  <dimension ref="A1:G72"/>
  <sheetViews>
    <sheetView topLeftCell="E1" workbookViewId="0">
      <selection activeCell="G1" sqref="G1"/>
    </sheetView>
  </sheetViews>
  <sheetFormatPr defaultColWidth="13.42578125" defaultRowHeight="15" x14ac:dyDescent="0.25"/>
  <cols>
    <col min="1" max="1" width="22.140625" bestFit="1" customWidth="1"/>
    <col min="2" max="2" width="9" bestFit="1" customWidth="1"/>
    <col min="3" max="3" width="18" bestFit="1" customWidth="1"/>
    <col min="4" max="4" width="81.140625" bestFit="1" customWidth="1"/>
    <col min="5" max="5" width="28.140625" bestFit="1" customWidth="1"/>
    <col min="6" max="6" width="8.85546875" bestFit="1" customWidth="1"/>
    <col min="7" max="7" width="20.5703125" bestFit="1" customWidth="1"/>
  </cols>
  <sheetData>
    <row r="1" spans="1:7" x14ac:dyDescent="0.25">
      <c r="A1" t="s">
        <v>0</v>
      </c>
      <c r="B1" t="s">
        <v>1</v>
      </c>
      <c r="C1" t="s">
        <v>2</v>
      </c>
      <c r="D1" t="s">
        <v>3</v>
      </c>
      <c r="E1" t="s">
        <v>4</v>
      </c>
      <c r="F1" t="s">
        <v>5</v>
      </c>
      <c r="G1" t="s">
        <v>6</v>
      </c>
    </row>
    <row r="2" spans="1:7" x14ac:dyDescent="0.25">
      <c r="A2" s="1">
        <v>44802</v>
      </c>
      <c r="B2">
        <v>16122602</v>
      </c>
      <c r="C2" s="27" t="s">
        <v>11</v>
      </c>
      <c r="D2" s="27" t="s">
        <v>452</v>
      </c>
      <c r="E2" s="27" t="s">
        <v>10</v>
      </c>
      <c r="F2" s="27" t="s">
        <v>8</v>
      </c>
      <c r="G2" s="25">
        <v>44799.350810185184</v>
      </c>
    </row>
    <row r="3" spans="1:7" x14ac:dyDescent="0.25">
      <c r="A3" s="1">
        <v>44802</v>
      </c>
      <c r="B3">
        <v>16124381</v>
      </c>
      <c r="C3" s="27" t="s">
        <v>7</v>
      </c>
      <c r="D3" s="27" t="s">
        <v>453</v>
      </c>
      <c r="E3" s="27" t="s">
        <v>13</v>
      </c>
      <c r="F3" s="27" t="s">
        <v>8</v>
      </c>
      <c r="G3" s="25">
        <v>44799.541504629633</v>
      </c>
    </row>
    <row r="4" spans="1:7" x14ac:dyDescent="0.25">
      <c r="A4" s="1">
        <v>44802</v>
      </c>
      <c r="B4">
        <v>16124766</v>
      </c>
      <c r="C4" s="27" t="s">
        <v>11</v>
      </c>
      <c r="D4" s="27" t="s">
        <v>454</v>
      </c>
      <c r="E4" s="27" t="s">
        <v>16</v>
      </c>
      <c r="F4" s="27" t="s">
        <v>8</v>
      </c>
      <c r="G4" s="25">
        <v>44799.569930555554</v>
      </c>
    </row>
    <row r="5" spans="1:7" x14ac:dyDescent="0.25">
      <c r="A5" s="1">
        <v>44802</v>
      </c>
      <c r="B5">
        <v>16124971</v>
      </c>
      <c r="C5" s="27" t="s">
        <v>11</v>
      </c>
      <c r="D5" s="27" t="s">
        <v>455</v>
      </c>
      <c r="E5" s="27" t="s">
        <v>13</v>
      </c>
      <c r="F5" s="27" t="s">
        <v>8</v>
      </c>
      <c r="G5" s="25">
        <v>44799.578576388885</v>
      </c>
    </row>
    <row r="6" spans="1:7" x14ac:dyDescent="0.25">
      <c r="A6" s="1">
        <v>44802</v>
      </c>
      <c r="B6">
        <v>16124990</v>
      </c>
      <c r="C6" s="27" t="s">
        <v>11</v>
      </c>
      <c r="D6" s="27" t="s">
        <v>456</v>
      </c>
      <c r="E6" s="27" t="s">
        <v>13</v>
      </c>
      <c r="F6" s="27" t="s">
        <v>8</v>
      </c>
      <c r="G6" s="25">
        <v>44799.579780092594</v>
      </c>
    </row>
    <row r="7" spans="1:7" x14ac:dyDescent="0.25">
      <c r="A7" s="1">
        <v>44802</v>
      </c>
      <c r="B7">
        <v>16125200</v>
      </c>
      <c r="C7" s="27" t="s">
        <v>7</v>
      </c>
      <c r="D7" s="27" t="s">
        <v>457</v>
      </c>
      <c r="E7" s="27" t="s">
        <v>13</v>
      </c>
      <c r="F7" s="27" t="s">
        <v>8</v>
      </c>
      <c r="G7" s="25">
        <v>44799.594340277778</v>
      </c>
    </row>
    <row r="8" spans="1:7" x14ac:dyDescent="0.25">
      <c r="A8" s="1">
        <v>44802</v>
      </c>
      <c r="B8">
        <v>16125274</v>
      </c>
      <c r="C8" s="27" t="s">
        <v>7</v>
      </c>
      <c r="D8" s="27" t="s">
        <v>458</v>
      </c>
      <c r="E8" s="27" t="s">
        <v>10</v>
      </c>
      <c r="F8" s="27" t="s">
        <v>8</v>
      </c>
      <c r="G8" s="25">
        <v>44799.597673611112</v>
      </c>
    </row>
    <row r="9" spans="1:7" x14ac:dyDescent="0.25">
      <c r="A9" s="1">
        <v>44802</v>
      </c>
      <c r="B9">
        <v>16125310</v>
      </c>
      <c r="C9" s="27" t="s">
        <v>11</v>
      </c>
      <c r="D9" s="27" t="s">
        <v>459</v>
      </c>
      <c r="E9" s="27" t="s">
        <v>10</v>
      </c>
      <c r="F9" s="27" t="s">
        <v>8</v>
      </c>
      <c r="G9" s="25">
        <v>44799.598865740743</v>
      </c>
    </row>
    <row r="10" spans="1:7" x14ac:dyDescent="0.25">
      <c r="A10" s="1">
        <v>44802</v>
      </c>
      <c r="B10">
        <v>16125392</v>
      </c>
      <c r="C10" s="27" t="s">
        <v>7</v>
      </c>
      <c r="D10" s="27" t="s">
        <v>460</v>
      </c>
      <c r="E10" s="27" t="s">
        <v>16</v>
      </c>
      <c r="F10" s="27" t="s">
        <v>8</v>
      </c>
      <c r="G10" s="25">
        <v>44799.604594907411</v>
      </c>
    </row>
    <row r="11" spans="1:7" x14ac:dyDescent="0.25">
      <c r="A11" s="1">
        <v>44803</v>
      </c>
      <c r="B11">
        <v>16126037</v>
      </c>
      <c r="C11" s="27" t="s">
        <v>12</v>
      </c>
      <c r="D11" s="27" t="s">
        <v>461</v>
      </c>
      <c r="E11" s="27" t="s">
        <v>13</v>
      </c>
      <c r="F11" s="27" t="s">
        <v>8</v>
      </c>
      <c r="G11" s="25">
        <v>44799.654618055552</v>
      </c>
    </row>
    <row r="12" spans="1:7" x14ac:dyDescent="0.25">
      <c r="A12" s="1">
        <v>44802</v>
      </c>
      <c r="B12">
        <v>16126062</v>
      </c>
      <c r="C12" s="27" t="s">
        <v>12</v>
      </c>
      <c r="D12" s="27" t="s">
        <v>462</v>
      </c>
      <c r="E12" s="27" t="s">
        <v>16</v>
      </c>
      <c r="F12" s="27" t="s">
        <v>8</v>
      </c>
      <c r="G12" s="25">
        <v>44799.654976851853</v>
      </c>
    </row>
    <row r="13" spans="1:7" x14ac:dyDescent="0.25">
      <c r="A13" s="1">
        <v>44803</v>
      </c>
      <c r="B13">
        <v>16132303</v>
      </c>
      <c r="C13" s="27" t="s">
        <v>11</v>
      </c>
      <c r="D13" s="27" t="s">
        <v>463</v>
      </c>
      <c r="E13" s="27" t="s">
        <v>16</v>
      </c>
      <c r="F13" s="27" t="s">
        <v>8</v>
      </c>
      <c r="G13" s="25">
        <v>44802.549641203703</v>
      </c>
    </row>
    <row r="14" spans="1:7" x14ac:dyDescent="0.25">
      <c r="A14" s="1">
        <v>44802</v>
      </c>
      <c r="B14">
        <v>16132793</v>
      </c>
      <c r="C14" s="27" t="s">
        <v>15</v>
      </c>
      <c r="D14" s="27" t="s">
        <v>464</v>
      </c>
      <c r="E14" s="27" t="s">
        <v>21</v>
      </c>
      <c r="F14" s="27" t="s">
        <v>8</v>
      </c>
      <c r="G14" s="25">
        <v>44802.591087962966</v>
      </c>
    </row>
    <row r="15" spans="1:7" x14ac:dyDescent="0.25">
      <c r="A15" s="1">
        <v>44803</v>
      </c>
      <c r="B15">
        <v>16133664</v>
      </c>
      <c r="C15" s="27" t="s">
        <v>12</v>
      </c>
      <c r="D15" s="27" t="s">
        <v>465</v>
      </c>
      <c r="E15" s="27" t="s">
        <v>16</v>
      </c>
      <c r="F15" s="27" t="s">
        <v>8</v>
      </c>
      <c r="G15" s="25">
        <v>44802.658912037034</v>
      </c>
    </row>
    <row r="16" spans="1:7" x14ac:dyDescent="0.25">
      <c r="A16" s="1">
        <v>44803</v>
      </c>
      <c r="B16">
        <v>16136120</v>
      </c>
      <c r="C16" s="27" t="s">
        <v>14</v>
      </c>
      <c r="D16" s="27" t="s">
        <v>466</v>
      </c>
      <c r="E16" s="27" t="s">
        <v>16</v>
      </c>
      <c r="F16" s="27" t="s">
        <v>8</v>
      </c>
      <c r="G16" s="25">
        <v>44803.389988425923</v>
      </c>
    </row>
    <row r="17" spans="1:7" x14ac:dyDescent="0.25">
      <c r="A17" s="1">
        <v>44803</v>
      </c>
      <c r="B17">
        <v>16136278</v>
      </c>
      <c r="C17" s="27" t="s">
        <v>11</v>
      </c>
      <c r="D17" s="27" t="s">
        <v>467</v>
      </c>
      <c r="E17" s="27" t="s">
        <v>10</v>
      </c>
      <c r="F17" s="27" t="s">
        <v>8</v>
      </c>
      <c r="G17" s="25">
        <v>44803.40185185185</v>
      </c>
    </row>
    <row r="18" spans="1:7" x14ac:dyDescent="0.25">
      <c r="A18" s="1">
        <v>44803</v>
      </c>
      <c r="B18">
        <v>16136354</v>
      </c>
      <c r="C18" s="27" t="s">
        <v>7</v>
      </c>
      <c r="D18" s="27" t="s">
        <v>468</v>
      </c>
      <c r="E18" s="27" t="s">
        <v>13</v>
      </c>
      <c r="F18" s="27" t="s">
        <v>8</v>
      </c>
      <c r="G18" s="25">
        <v>44803.459085648145</v>
      </c>
    </row>
    <row r="19" spans="1:7" x14ac:dyDescent="0.25">
      <c r="A19" s="1">
        <v>44804</v>
      </c>
      <c r="B19">
        <v>16137418</v>
      </c>
      <c r="C19" s="27" t="s">
        <v>7</v>
      </c>
      <c r="D19" s="27" t="s">
        <v>469</v>
      </c>
      <c r="E19" s="27" t="s">
        <v>16</v>
      </c>
      <c r="F19" s="27" t="s">
        <v>8</v>
      </c>
      <c r="G19" s="25">
        <v>44803.524212962962</v>
      </c>
    </row>
    <row r="20" spans="1:7" x14ac:dyDescent="0.25">
      <c r="A20" s="1">
        <v>44804</v>
      </c>
      <c r="B20">
        <v>16137632</v>
      </c>
      <c r="C20" s="27" t="s">
        <v>11</v>
      </c>
      <c r="D20" s="27" t="s">
        <v>463</v>
      </c>
      <c r="E20" s="27" t="s">
        <v>16</v>
      </c>
      <c r="F20" s="27" t="s">
        <v>8</v>
      </c>
      <c r="G20" s="25">
        <v>44803.554629629631</v>
      </c>
    </row>
    <row r="21" spans="1:7" x14ac:dyDescent="0.25">
      <c r="A21" s="1">
        <v>44804</v>
      </c>
      <c r="B21">
        <v>16139067</v>
      </c>
      <c r="C21" s="27" t="s">
        <v>7</v>
      </c>
      <c r="D21" s="27" t="s">
        <v>470</v>
      </c>
      <c r="E21" s="27" t="s">
        <v>10</v>
      </c>
      <c r="F21" s="27" t="s">
        <v>8</v>
      </c>
      <c r="G21" s="25">
        <v>44803.554872685185</v>
      </c>
    </row>
    <row r="22" spans="1:7" x14ac:dyDescent="0.25">
      <c r="A22" s="1">
        <v>44804</v>
      </c>
      <c r="B22">
        <v>16137703</v>
      </c>
      <c r="C22" s="27" t="s">
        <v>7</v>
      </c>
      <c r="D22" s="27" t="s">
        <v>471</v>
      </c>
      <c r="E22" s="27" t="s">
        <v>10</v>
      </c>
      <c r="F22" s="27" t="s">
        <v>8</v>
      </c>
      <c r="G22" s="25">
        <v>44803.559074074074</v>
      </c>
    </row>
    <row r="23" spans="1:7" x14ac:dyDescent="0.25">
      <c r="A23" s="1">
        <v>44804</v>
      </c>
      <c r="B23">
        <v>16137732</v>
      </c>
      <c r="C23" s="27" t="s">
        <v>7</v>
      </c>
      <c r="D23" s="27" t="s">
        <v>472</v>
      </c>
      <c r="E23" s="27" t="s">
        <v>10</v>
      </c>
      <c r="F23" s="27" t="s">
        <v>8</v>
      </c>
      <c r="G23" s="25">
        <v>44803.56177083333</v>
      </c>
    </row>
    <row r="24" spans="1:7" x14ac:dyDescent="0.25">
      <c r="A24" s="1">
        <v>44804</v>
      </c>
      <c r="B24">
        <v>16137991</v>
      </c>
      <c r="C24" s="27" t="s">
        <v>7</v>
      </c>
      <c r="D24" s="27" t="s">
        <v>473</v>
      </c>
      <c r="E24" s="27" t="s">
        <v>10</v>
      </c>
      <c r="F24" s="27" t="s">
        <v>8</v>
      </c>
      <c r="G24" s="25">
        <v>44803.582037037035</v>
      </c>
    </row>
    <row r="25" spans="1:7" x14ac:dyDescent="0.25">
      <c r="A25" s="1">
        <v>44804</v>
      </c>
      <c r="B25">
        <v>16138026</v>
      </c>
      <c r="C25" s="27" t="s">
        <v>11</v>
      </c>
      <c r="D25" s="27" t="s">
        <v>474</v>
      </c>
      <c r="E25" s="27" t="s">
        <v>16</v>
      </c>
      <c r="F25" s="27" t="s">
        <v>8</v>
      </c>
      <c r="G25" s="25">
        <v>44803.585844907408</v>
      </c>
    </row>
    <row r="26" spans="1:7" x14ac:dyDescent="0.25">
      <c r="A26" s="1">
        <v>44804</v>
      </c>
      <c r="B26">
        <v>16138112</v>
      </c>
      <c r="C26" s="27" t="s">
        <v>12</v>
      </c>
      <c r="D26" s="27" t="s">
        <v>475</v>
      </c>
      <c r="E26" s="27" t="s">
        <v>10</v>
      </c>
      <c r="F26" s="27" t="s">
        <v>8</v>
      </c>
      <c r="G26" s="25">
        <v>44803.596365740741</v>
      </c>
    </row>
    <row r="27" spans="1:7" x14ac:dyDescent="0.25">
      <c r="A27" s="1">
        <v>44803</v>
      </c>
      <c r="B27">
        <v>16138170</v>
      </c>
      <c r="C27" s="27" t="s">
        <v>11</v>
      </c>
      <c r="D27" s="27" t="s">
        <v>476</v>
      </c>
      <c r="E27" s="27" t="s">
        <v>13</v>
      </c>
      <c r="F27" s="27" t="s">
        <v>8</v>
      </c>
      <c r="G27" s="25">
        <v>44803.601087962961</v>
      </c>
    </row>
    <row r="28" spans="1:7" x14ac:dyDescent="0.25">
      <c r="A28" s="1">
        <v>44804</v>
      </c>
      <c r="B28">
        <v>16138898</v>
      </c>
      <c r="C28" s="27" t="s">
        <v>11</v>
      </c>
      <c r="D28" s="27" t="s">
        <v>477</v>
      </c>
      <c r="E28" s="27" t="s">
        <v>16</v>
      </c>
      <c r="F28" s="27" t="s">
        <v>8</v>
      </c>
      <c r="G28" s="25">
        <v>44803.66710648148</v>
      </c>
    </row>
    <row r="29" spans="1:7" x14ac:dyDescent="0.25">
      <c r="A29" s="1">
        <v>44804</v>
      </c>
      <c r="B29">
        <v>16141082</v>
      </c>
      <c r="C29" s="27" t="s">
        <v>11</v>
      </c>
      <c r="D29" s="27" t="s">
        <v>67</v>
      </c>
      <c r="E29" s="27" t="s">
        <v>16</v>
      </c>
      <c r="F29" s="27" t="s">
        <v>8</v>
      </c>
      <c r="G29" s="25">
        <v>44804.369004629632</v>
      </c>
    </row>
    <row r="30" spans="1:7" x14ac:dyDescent="0.25">
      <c r="A30" s="1">
        <v>44805</v>
      </c>
      <c r="B30">
        <v>16141179</v>
      </c>
      <c r="C30" s="27" t="s">
        <v>14</v>
      </c>
      <c r="D30" s="27" t="s">
        <v>478</v>
      </c>
      <c r="E30" s="27" t="s">
        <v>13</v>
      </c>
      <c r="F30" s="27" t="s">
        <v>8</v>
      </c>
      <c r="G30" s="25">
        <v>44804.375011574077</v>
      </c>
    </row>
    <row r="31" spans="1:7" x14ac:dyDescent="0.25">
      <c r="A31" s="1">
        <v>44805</v>
      </c>
      <c r="B31">
        <v>16141202</v>
      </c>
      <c r="C31" s="27" t="s">
        <v>14</v>
      </c>
      <c r="D31" s="27" t="s">
        <v>479</v>
      </c>
      <c r="E31" s="27" t="s">
        <v>13</v>
      </c>
      <c r="F31" s="27" t="s">
        <v>8</v>
      </c>
      <c r="G31" s="25">
        <v>44804.376296296294</v>
      </c>
    </row>
    <row r="32" spans="1:7" x14ac:dyDescent="0.25">
      <c r="A32" s="1">
        <v>44805</v>
      </c>
      <c r="B32">
        <v>16143122</v>
      </c>
      <c r="C32" s="27" t="s">
        <v>11</v>
      </c>
      <c r="D32" s="27" t="s">
        <v>480</v>
      </c>
      <c r="E32" s="27" t="s">
        <v>16</v>
      </c>
      <c r="F32" s="27" t="s">
        <v>8</v>
      </c>
      <c r="G32" s="25">
        <v>44804.591238425928</v>
      </c>
    </row>
    <row r="33" spans="1:7" x14ac:dyDescent="0.25">
      <c r="A33" s="1">
        <v>44805</v>
      </c>
      <c r="B33">
        <v>16143167</v>
      </c>
      <c r="C33" s="27" t="s">
        <v>11</v>
      </c>
      <c r="D33" s="27" t="s">
        <v>481</v>
      </c>
      <c r="E33" s="27" t="s">
        <v>16</v>
      </c>
      <c r="F33" s="27" t="s">
        <v>8</v>
      </c>
      <c r="G33" s="25">
        <v>44804.594571759262</v>
      </c>
    </row>
    <row r="34" spans="1:7" x14ac:dyDescent="0.25">
      <c r="A34" s="1">
        <v>44805</v>
      </c>
      <c r="B34">
        <v>16143932</v>
      </c>
      <c r="C34" s="27" t="s">
        <v>11</v>
      </c>
      <c r="D34" s="27" t="s">
        <v>482</v>
      </c>
      <c r="E34" s="27" t="s">
        <v>10</v>
      </c>
      <c r="F34" s="27" t="s">
        <v>8</v>
      </c>
      <c r="G34" s="25">
        <v>44804.662824074076</v>
      </c>
    </row>
    <row r="35" spans="1:7" x14ac:dyDescent="0.25">
      <c r="A35" s="1">
        <v>44805</v>
      </c>
      <c r="B35">
        <v>16146727</v>
      </c>
      <c r="C35" s="27" t="s">
        <v>7</v>
      </c>
      <c r="D35" s="27" t="s">
        <v>483</v>
      </c>
      <c r="E35" s="27" t="s">
        <v>10</v>
      </c>
      <c r="F35" s="27" t="s">
        <v>8</v>
      </c>
      <c r="G35" s="25">
        <v>44805.425011574072</v>
      </c>
    </row>
    <row r="36" spans="1:7" x14ac:dyDescent="0.25">
      <c r="A36" s="1">
        <v>44806</v>
      </c>
      <c r="B36">
        <v>16147532</v>
      </c>
      <c r="C36" s="27" t="s">
        <v>15</v>
      </c>
      <c r="D36" s="27" t="s">
        <v>484</v>
      </c>
      <c r="E36" s="27" t="s">
        <v>10</v>
      </c>
      <c r="F36" s="27" t="s">
        <v>8</v>
      </c>
      <c r="G36" s="25">
        <v>44805.55978009259</v>
      </c>
    </row>
    <row r="37" spans="1:7" x14ac:dyDescent="0.25">
      <c r="A37" s="1">
        <v>44806</v>
      </c>
      <c r="B37">
        <v>16147525</v>
      </c>
      <c r="C37" s="27" t="s">
        <v>11</v>
      </c>
      <c r="D37" s="27" t="s">
        <v>463</v>
      </c>
      <c r="E37" s="27" t="s">
        <v>10</v>
      </c>
      <c r="F37" s="27" t="s">
        <v>8</v>
      </c>
      <c r="G37" s="25">
        <v>44805.562418981484</v>
      </c>
    </row>
    <row r="38" spans="1:7" x14ac:dyDescent="0.25">
      <c r="A38" s="1">
        <v>44806</v>
      </c>
      <c r="B38">
        <v>16147943</v>
      </c>
      <c r="C38" s="27" t="s">
        <v>11</v>
      </c>
      <c r="D38" s="27" t="s">
        <v>481</v>
      </c>
      <c r="E38" s="27" t="s">
        <v>10</v>
      </c>
      <c r="F38" s="27" t="s">
        <v>8</v>
      </c>
      <c r="G38" s="25">
        <v>44805.59033564815</v>
      </c>
    </row>
    <row r="39" spans="1:7" x14ac:dyDescent="0.25">
      <c r="A39" s="1">
        <v>44806</v>
      </c>
      <c r="B39">
        <v>16147957</v>
      </c>
      <c r="C39" s="27" t="s">
        <v>11</v>
      </c>
      <c r="D39" s="27" t="s">
        <v>485</v>
      </c>
      <c r="E39" s="27" t="s">
        <v>10</v>
      </c>
      <c r="F39" s="27" t="s">
        <v>8</v>
      </c>
      <c r="G39" s="25">
        <v>44805.591331018521</v>
      </c>
    </row>
    <row r="40" spans="1:7" x14ac:dyDescent="0.25">
      <c r="A40" s="1">
        <v>44806</v>
      </c>
      <c r="B40">
        <v>16148079</v>
      </c>
      <c r="C40" s="27" t="s">
        <v>11</v>
      </c>
      <c r="D40" s="27" t="s">
        <v>486</v>
      </c>
      <c r="E40" s="27" t="s">
        <v>10</v>
      </c>
      <c r="F40" s="27" t="s">
        <v>8</v>
      </c>
      <c r="G40" s="25">
        <v>44805.59951388889</v>
      </c>
    </row>
    <row r="41" spans="1:7" x14ac:dyDescent="0.25">
      <c r="A41" s="1">
        <v>44816</v>
      </c>
      <c r="B41">
        <v>16151317</v>
      </c>
      <c r="C41" s="27" t="s">
        <v>9</v>
      </c>
      <c r="D41" s="27" t="s">
        <v>690</v>
      </c>
      <c r="E41" s="27"/>
      <c r="F41" s="27" t="s">
        <v>8</v>
      </c>
      <c r="G41" s="25">
        <v>44806.379953703705</v>
      </c>
    </row>
    <row r="42" spans="1:7" x14ac:dyDescent="0.25">
      <c r="A42" s="1">
        <v>44816</v>
      </c>
      <c r="B42">
        <v>16151349</v>
      </c>
      <c r="C42" s="27" t="s">
        <v>9</v>
      </c>
      <c r="D42" s="27" t="s">
        <v>68</v>
      </c>
      <c r="E42" s="27"/>
      <c r="F42" s="27" t="s">
        <v>8</v>
      </c>
      <c r="G42" s="25">
        <v>44806.38212962963</v>
      </c>
    </row>
    <row r="43" spans="1:7" x14ac:dyDescent="0.25">
      <c r="A43" s="1">
        <v>44816</v>
      </c>
      <c r="B43">
        <v>16151384</v>
      </c>
      <c r="C43" s="27" t="s">
        <v>9</v>
      </c>
      <c r="D43" s="27" t="s">
        <v>691</v>
      </c>
      <c r="E43" s="27"/>
      <c r="F43" s="27" t="s">
        <v>8</v>
      </c>
      <c r="G43" s="25">
        <v>44806.384548611109</v>
      </c>
    </row>
    <row r="44" spans="1:7" x14ac:dyDescent="0.25">
      <c r="A44" s="1">
        <v>44809</v>
      </c>
      <c r="B44">
        <v>16152007</v>
      </c>
      <c r="C44" s="27" t="s">
        <v>11</v>
      </c>
      <c r="D44" s="27" t="s">
        <v>463</v>
      </c>
      <c r="E44" s="27" t="s">
        <v>10</v>
      </c>
      <c r="F44" s="27" t="s">
        <v>8</v>
      </c>
      <c r="G44" s="25">
        <v>44806.436412037037</v>
      </c>
    </row>
    <row r="45" spans="1:7" x14ac:dyDescent="0.25">
      <c r="A45" s="1">
        <v>44811</v>
      </c>
      <c r="B45">
        <v>16152579</v>
      </c>
      <c r="C45" s="27" t="s">
        <v>9</v>
      </c>
      <c r="D45" s="27" t="s">
        <v>585</v>
      </c>
      <c r="E45" s="27" t="s">
        <v>10</v>
      </c>
      <c r="F45" s="27" t="s">
        <v>8</v>
      </c>
      <c r="G45" s="25">
        <v>44806.495717592596</v>
      </c>
    </row>
    <row r="46" spans="1:7" x14ac:dyDescent="0.25">
      <c r="A46" s="1">
        <v>44809</v>
      </c>
      <c r="B46">
        <v>16152285</v>
      </c>
      <c r="C46" s="27" t="s">
        <v>7</v>
      </c>
      <c r="D46" s="27" t="s">
        <v>586</v>
      </c>
      <c r="E46" s="27" t="s">
        <v>10</v>
      </c>
      <c r="F46" s="27" t="s">
        <v>8</v>
      </c>
      <c r="G46" s="25">
        <v>44806.523275462961</v>
      </c>
    </row>
    <row r="47" spans="1:7" x14ac:dyDescent="0.25">
      <c r="A47" s="1">
        <v>44809</v>
      </c>
      <c r="B47">
        <v>16152883</v>
      </c>
      <c r="C47" s="27" t="s">
        <v>7</v>
      </c>
      <c r="D47" s="27" t="s">
        <v>587</v>
      </c>
      <c r="E47" s="27" t="s">
        <v>10</v>
      </c>
      <c r="F47" s="27" t="s">
        <v>8</v>
      </c>
      <c r="G47" s="25">
        <v>44806.539652777778</v>
      </c>
    </row>
    <row r="48" spans="1:7" x14ac:dyDescent="0.25">
      <c r="A48" s="1">
        <v>44809</v>
      </c>
      <c r="B48">
        <v>16152939</v>
      </c>
      <c r="C48" s="27" t="s">
        <v>7</v>
      </c>
      <c r="D48" s="27" t="s">
        <v>588</v>
      </c>
      <c r="E48" s="27" t="s">
        <v>10</v>
      </c>
      <c r="F48" s="27" t="s">
        <v>8</v>
      </c>
      <c r="G48" s="25">
        <v>44806.545972222222</v>
      </c>
    </row>
    <row r="49" spans="1:7" x14ac:dyDescent="0.25">
      <c r="A49" s="1">
        <v>44809</v>
      </c>
      <c r="B49">
        <v>16153055</v>
      </c>
      <c r="C49" s="27" t="s">
        <v>7</v>
      </c>
      <c r="D49" s="27" t="s">
        <v>589</v>
      </c>
      <c r="E49" s="27" t="s">
        <v>10</v>
      </c>
      <c r="F49" s="27" t="s">
        <v>8</v>
      </c>
      <c r="G49" s="25">
        <v>44806.554328703707</v>
      </c>
    </row>
    <row r="50" spans="1:7" x14ac:dyDescent="0.25">
      <c r="A50" s="1">
        <v>44809</v>
      </c>
      <c r="B50">
        <v>16152826</v>
      </c>
      <c r="C50" s="27" t="s">
        <v>7</v>
      </c>
      <c r="D50" s="27" t="s">
        <v>590</v>
      </c>
      <c r="E50" s="27" t="s">
        <v>10</v>
      </c>
      <c r="F50" s="27" t="s">
        <v>8</v>
      </c>
      <c r="G50" s="25">
        <v>44806.568159722221</v>
      </c>
    </row>
    <row r="51" spans="1:7" x14ac:dyDescent="0.25">
      <c r="A51" s="1">
        <v>44809</v>
      </c>
      <c r="B51">
        <v>16152840</v>
      </c>
      <c r="C51" s="27" t="s">
        <v>7</v>
      </c>
      <c r="D51" s="27" t="s">
        <v>591</v>
      </c>
      <c r="E51" s="27" t="s">
        <v>10</v>
      </c>
      <c r="F51" s="27" t="s">
        <v>8</v>
      </c>
      <c r="G51" s="25">
        <v>44806.568784722222</v>
      </c>
    </row>
    <row r="52" spans="1:7" x14ac:dyDescent="0.25">
      <c r="A52" s="1">
        <v>44809</v>
      </c>
      <c r="B52">
        <v>16153753</v>
      </c>
      <c r="C52" s="27" t="s">
        <v>15</v>
      </c>
      <c r="D52" s="27" t="s">
        <v>592</v>
      </c>
      <c r="E52" s="27" t="s">
        <v>10</v>
      </c>
      <c r="F52" s="27" t="s">
        <v>8</v>
      </c>
      <c r="G52" s="25">
        <v>44806.595462962963</v>
      </c>
    </row>
    <row r="53" spans="1:7" x14ac:dyDescent="0.25">
      <c r="A53" s="1">
        <v>44806</v>
      </c>
      <c r="B53">
        <v>16125694</v>
      </c>
      <c r="C53" s="27" t="s">
        <v>15</v>
      </c>
      <c r="D53" s="27" t="s">
        <v>491</v>
      </c>
      <c r="E53" s="27" t="s">
        <v>10</v>
      </c>
      <c r="F53" s="27" t="s">
        <v>8</v>
      </c>
      <c r="G53" s="25">
        <v>44806.599722222221</v>
      </c>
    </row>
    <row r="54" spans="1:7" x14ac:dyDescent="0.25">
      <c r="A54" s="1">
        <v>44809</v>
      </c>
      <c r="B54">
        <v>16153932</v>
      </c>
      <c r="C54" s="27" t="s">
        <v>15</v>
      </c>
      <c r="D54" s="27" t="s">
        <v>593</v>
      </c>
      <c r="E54" s="27" t="s">
        <v>18</v>
      </c>
      <c r="F54" s="27" t="s">
        <v>8</v>
      </c>
      <c r="G54" s="25">
        <v>44806.605127314811</v>
      </c>
    </row>
    <row r="55" spans="1:7" x14ac:dyDescent="0.25">
      <c r="A55" s="1">
        <v>44809</v>
      </c>
      <c r="B55">
        <v>16154073</v>
      </c>
      <c r="C55" s="27" t="s">
        <v>14</v>
      </c>
      <c r="D55" s="27" t="s">
        <v>594</v>
      </c>
      <c r="E55" s="27" t="s">
        <v>10</v>
      </c>
      <c r="F55" s="27" t="s">
        <v>8</v>
      </c>
      <c r="G55" s="25">
        <v>44806.612025462964</v>
      </c>
    </row>
    <row r="56" spans="1:7" x14ac:dyDescent="0.25">
      <c r="A56" s="1">
        <v>44811</v>
      </c>
      <c r="B56">
        <v>16154113</v>
      </c>
      <c r="C56" s="27" t="s">
        <v>14</v>
      </c>
      <c r="D56" s="27" t="s">
        <v>595</v>
      </c>
      <c r="E56" s="27"/>
      <c r="F56" s="27" t="s">
        <v>8</v>
      </c>
      <c r="G56" s="25">
        <v>44806.613900462966</v>
      </c>
    </row>
    <row r="57" spans="1:7" x14ac:dyDescent="0.25">
      <c r="A57" s="1">
        <v>44807</v>
      </c>
      <c r="B57">
        <v>16154135</v>
      </c>
      <c r="C57" s="27" t="s">
        <v>11</v>
      </c>
      <c r="D57" s="27" t="s">
        <v>481</v>
      </c>
      <c r="E57" s="27" t="s">
        <v>10</v>
      </c>
      <c r="F57" s="27" t="s">
        <v>8</v>
      </c>
      <c r="G57" s="25">
        <v>44806.614791666667</v>
      </c>
    </row>
    <row r="58" spans="1:7" x14ac:dyDescent="0.25">
      <c r="A58" s="1">
        <v>44809</v>
      </c>
      <c r="B58">
        <v>16154194</v>
      </c>
      <c r="C58" s="27" t="s">
        <v>11</v>
      </c>
      <c r="D58" s="27" t="s">
        <v>596</v>
      </c>
      <c r="E58" s="27" t="s">
        <v>10</v>
      </c>
      <c r="F58" s="27" t="s">
        <v>8</v>
      </c>
      <c r="G58" s="25">
        <v>44806.617476851854</v>
      </c>
    </row>
    <row r="59" spans="1:7" x14ac:dyDescent="0.25">
      <c r="A59" s="1">
        <v>44809</v>
      </c>
      <c r="B59">
        <v>16154212</v>
      </c>
      <c r="C59" s="27" t="s">
        <v>11</v>
      </c>
      <c r="D59" s="27" t="s">
        <v>485</v>
      </c>
      <c r="E59" s="27" t="s">
        <v>10</v>
      </c>
      <c r="F59" s="27" t="s">
        <v>8</v>
      </c>
      <c r="G59" s="25">
        <v>44806.618159722224</v>
      </c>
    </row>
    <row r="60" spans="1:7" x14ac:dyDescent="0.25">
      <c r="A60" s="1">
        <v>44809</v>
      </c>
      <c r="B60">
        <v>16154405</v>
      </c>
      <c r="C60" s="27" t="s">
        <v>11</v>
      </c>
      <c r="D60" s="27" t="s">
        <v>597</v>
      </c>
      <c r="E60" s="27" t="s">
        <v>10</v>
      </c>
      <c r="F60" s="27" t="s">
        <v>8</v>
      </c>
      <c r="G60" s="25">
        <v>44806.627453703702</v>
      </c>
    </row>
    <row r="61" spans="1:7" x14ac:dyDescent="0.25">
      <c r="A61" s="1">
        <v>44809</v>
      </c>
      <c r="B61">
        <v>16154433</v>
      </c>
      <c r="C61" s="27" t="s">
        <v>11</v>
      </c>
      <c r="D61" s="27" t="s">
        <v>612</v>
      </c>
      <c r="E61" s="27" t="s">
        <v>10</v>
      </c>
      <c r="F61" s="27" t="s">
        <v>8</v>
      </c>
      <c r="G61" s="25">
        <v>44806.629340277781</v>
      </c>
    </row>
    <row r="62" spans="1:7" x14ac:dyDescent="0.25">
      <c r="A62" s="1">
        <v>44809</v>
      </c>
      <c r="B62">
        <v>16154479</v>
      </c>
      <c r="C62" s="27" t="s">
        <v>11</v>
      </c>
      <c r="D62" s="27" t="s">
        <v>613</v>
      </c>
      <c r="E62" s="27" t="s">
        <v>10</v>
      </c>
      <c r="F62" s="27" t="s">
        <v>8</v>
      </c>
      <c r="G62" s="25">
        <v>44806.632210648146</v>
      </c>
    </row>
    <row r="63" spans="1:7" x14ac:dyDescent="0.25">
      <c r="A63" s="1">
        <v>44810</v>
      </c>
      <c r="B63">
        <v>16154384</v>
      </c>
      <c r="C63" s="27" t="s">
        <v>7</v>
      </c>
      <c r="D63" s="27" t="s">
        <v>614</v>
      </c>
      <c r="E63" s="27" t="s">
        <v>10</v>
      </c>
      <c r="F63" s="27" t="s">
        <v>8</v>
      </c>
      <c r="G63" s="25">
        <v>44806.636030092595</v>
      </c>
    </row>
    <row r="64" spans="1:7" x14ac:dyDescent="0.25">
      <c r="A64" s="1">
        <v>44809</v>
      </c>
      <c r="B64">
        <v>16160012</v>
      </c>
      <c r="C64" s="27" t="s">
        <v>15</v>
      </c>
      <c r="D64" s="27" t="s">
        <v>593</v>
      </c>
      <c r="E64" s="27" t="s">
        <v>10</v>
      </c>
      <c r="F64" s="27" t="s">
        <v>8</v>
      </c>
      <c r="G64" s="25">
        <v>44806.67701388889</v>
      </c>
    </row>
    <row r="65" spans="1:7" x14ac:dyDescent="0.25">
      <c r="A65" s="1">
        <v>44809</v>
      </c>
      <c r="B65">
        <v>16155171</v>
      </c>
      <c r="C65" s="27" t="s">
        <v>15</v>
      </c>
      <c r="D65" s="27" t="s">
        <v>692</v>
      </c>
      <c r="E65" s="27" t="s">
        <v>10</v>
      </c>
      <c r="F65" s="27" t="s">
        <v>8</v>
      </c>
      <c r="G65" s="25">
        <v>44806.679548611108</v>
      </c>
    </row>
    <row r="66" spans="1:7" x14ac:dyDescent="0.25">
      <c r="A66" s="1">
        <v>44809</v>
      </c>
      <c r="B66">
        <v>16158690</v>
      </c>
      <c r="C66" s="27" t="s">
        <v>12</v>
      </c>
      <c r="D66" s="27" t="s">
        <v>693</v>
      </c>
      <c r="E66" s="27" t="s">
        <v>10</v>
      </c>
      <c r="F66" s="27" t="s">
        <v>8</v>
      </c>
      <c r="G66" s="25">
        <v>44809.341423611113</v>
      </c>
    </row>
    <row r="67" spans="1:7" x14ac:dyDescent="0.25">
      <c r="A67" s="1">
        <v>44809</v>
      </c>
      <c r="B67">
        <v>16159152</v>
      </c>
      <c r="C67" s="27" t="s">
        <v>12</v>
      </c>
      <c r="D67" s="27" t="s">
        <v>694</v>
      </c>
      <c r="E67" s="27" t="s">
        <v>10</v>
      </c>
      <c r="F67" s="27" t="s">
        <v>8</v>
      </c>
      <c r="G67" s="25">
        <v>44809.343263888892</v>
      </c>
    </row>
    <row r="68" spans="1:7" x14ac:dyDescent="0.25">
      <c r="A68" s="1">
        <v>44810</v>
      </c>
      <c r="B68">
        <v>16160047</v>
      </c>
      <c r="C68" s="27" t="s">
        <v>11</v>
      </c>
      <c r="D68" s="27" t="s">
        <v>695</v>
      </c>
      <c r="E68" s="27" t="s">
        <v>10</v>
      </c>
      <c r="F68" s="27" t="s">
        <v>8</v>
      </c>
      <c r="G68" s="25">
        <v>44809.435856481483</v>
      </c>
    </row>
    <row r="69" spans="1:7" x14ac:dyDescent="0.25">
      <c r="A69" s="1">
        <v>44810</v>
      </c>
      <c r="B69">
        <v>16161521</v>
      </c>
      <c r="C69" s="27" t="s">
        <v>15</v>
      </c>
      <c r="D69" s="27" t="s">
        <v>696</v>
      </c>
      <c r="E69" s="27"/>
      <c r="F69" s="27" t="s">
        <v>8</v>
      </c>
      <c r="G69" s="25">
        <v>44809.601180555554</v>
      </c>
    </row>
    <row r="70" spans="1:7" x14ac:dyDescent="0.25">
      <c r="A70" s="1">
        <v>44810</v>
      </c>
      <c r="B70">
        <v>16161535</v>
      </c>
      <c r="C70" s="27" t="s">
        <v>12</v>
      </c>
      <c r="D70" s="27" t="s">
        <v>697</v>
      </c>
      <c r="E70" s="27"/>
      <c r="F70" s="27" t="s">
        <v>8</v>
      </c>
      <c r="G70" s="25">
        <v>44809.60255787037</v>
      </c>
    </row>
    <row r="71" spans="1:7" x14ac:dyDescent="0.25">
      <c r="A71" s="1">
        <v>44810</v>
      </c>
      <c r="B71">
        <v>16161632</v>
      </c>
      <c r="C71" s="27" t="s">
        <v>11</v>
      </c>
      <c r="D71" s="27" t="s">
        <v>481</v>
      </c>
      <c r="E71" s="27"/>
      <c r="F71" s="27" t="s">
        <v>8</v>
      </c>
      <c r="G71" s="25">
        <v>44809.609722222223</v>
      </c>
    </row>
    <row r="72" spans="1:7" x14ac:dyDescent="0.25">
      <c r="A72" s="1">
        <v>44810</v>
      </c>
      <c r="B72">
        <v>16161659</v>
      </c>
      <c r="C72" s="27" t="s">
        <v>11</v>
      </c>
      <c r="D72" s="27" t="s">
        <v>485</v>
      </c>
      <c r="E72" s="27"/>
      <c r="F72" s="27" t="s">
        <v>8</v>
      </c>
      <c r="G72" s="25">
        <v>44809.612337962964</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78AD0-1D8A-495E-B195-155F6661C2D1}">
  <sheetPr codeName="Planilha1"/>
  <dimension ref="A1:G207"/>
  <sheetViews>
    <sheetView workbookViewId="0"/>
  </sheetViews>
  <sheetFormatPr defaultRowHeight="15" x14ac:dyDescent="0.25"/>
  <cols>
    <col min="1" max="1" width="22.140625" bestFit="1" customWidth="1"/>
    <col min="2" max="2" width="9" bestFit="1" customWidth="1"/>
    <col min="3" max="3" width="16.85546875" bestFit="1" customWidth="1"/>
    <col min="4" max="4" width="81.140625" bestFit="1" customWidth="1"/>
    <col min="5" max="5" width="28.140625" bestFit="1" customWidth="1"/>
    <col min="6" max="6" width="8.85546875" bestFit="1" customWidth="1"/>
    <col min="7" max="7" width="20.5703125" bestFit="1" customWidth="1"/>
  </cols>
  <sheetData>
    <row r="1" spans="1:7" x14ac:dyDescent="0.25">
      <c r="A1" t="s">
        <v>0</v>
      </c>
      <c r="B1" t="s">
        <v>1</v>
      </c>
      <c r="C1" t="s">
        <v>2</v>
      </c>
      <c r="D1" t="s">
        <v>3</v>
      </c>
      <c r="E1" t="s">
        <v>4</v>
      </c>
      <c r="F1" t="s">
        <v>5</v>
      </c>
      <c r="G1" t="s">
        <v>6</v>
      </c>
    </row>
    <row r="2" spans="1:7" x14ac:dyDescent="0.25">
      <c r="A2" s="1">
        <v>44802</v>
      </c>
      <c r="B2">
        <v>16125320</v>
      </c>
      <c r="C2" s="27" t="s">
        <v>23</v>
      </c>
      <c r="D2" s="27" t="s">
        <v>71</v>
      </c>
      <c r="E2" s="27" t="s">
        <v>10</v>
      </c>
      <c r="F2" s="27" t="s">
        <v>20</v>
      </c>
      <c r="G2" s="25">
        <v>44799.584583333337</v>
      </c>
    </row>
    <row r="3" spans="1:7" x14ac:dyDescent="0.25">
      <c r="A3" s="1">
        <v>44802</v>
      </c>
      <c r="B3">
        <v>16125320</v>
      </c>
      <c r="C3" s="27" t="s">
        <v>23</v>
      </c>
      <c r="D3" s="27" t="s">
        <v>71</v>
      </c>
      <c r="E3" s="27" t="s">
        <v>10</v>
      </c>
      <c r="F3" s="27" t="s">
        <v>20</v>
      </c>
      <c r="G3" s="25">
        <v>44799.585405092592</v>
      </c>
    </row>
    <row r="4" spans="1:7" x14ac:dyDescent="0.25">
      <c r="A4" s="1">
        <v>44802</v>
      </c>
      <c r="B4">
        <v>16130540</v>
      </c>
      <c r="C4" s="27" t="s">
        <v>22</v>
      </c>
      <c r="D4" s="27" t="s">
        <v>72</v>
      </c>
      <c r="E4" s="27" t="s">
        <v>17</v>
      </c>
      <c r="F4" s="27" t="s">
        <v>20</v>
      </c>
      <c r="G4" s="25">
        <v>44799.609386574077</v>
      </c>
    </row>
    <row r="5" spans="1:7" x14ac:dyDescent="0.25">
      <c r="A5" s="1">
        <v>44802</v>
      </c>
      <c r="B5">
        <v>16088118</v>
      </c>
      <c r="C5" s="27" t="s">
        <v>19</v>
      </c>
      <c r="D5" s="27" t="s">
        <v>73</v>
      </c>
      <c r="E5" s="27" t="s">
        <v>10</v>
      </c>
      <c r="F5" s="27" t="s">
        <v>20</v>
      </c>
      <c r="G5" s="25">
        <v>44799.586192129631</v>
      </c>
    </row>
    <row r="6" spans="1:7" x14ac:dyDescent="0.25">
      <c r="A6" s="1">
        <v>44802</v>
      </c>
      <c r="B6">
        <v>16098741</v>
      </c>
      <c r="C6" s="27" t="s">
        <v>19</v>
      </c>
      <c r="D6" s="27" t="s">
        <v>74</v>
      </c>
      <c r="E6" s="27" t="s">
        <v>10</v>
      </c>
      <c r="F6" s="27" t="s">
        <v>20</v>
      </c>
      <c r="G6" s="25">
        <v>44799.585821759261</v>
      </c>
    </row>
    <row r="7" spans="1:7" x14ac:dyDescent="0.25">
      <c r="A7" s="1">
        <v>44803</v>
      </c>
      <c r="B7">
        <v>15934801</v>
      </c>
      <c r="C7" s="27" t="s">
        <v>23</v>
      </c>
      <c r="D7" s="27" t="s">
        <v>75</v>
      </c>
      <c r="E7" s="27" t="s">
        <v>10</v>
      </c>
      <c r="F7" s="27" t="s">
        <v>20</v>
      </c>
      <c r="G7" s="25">
        <v>44803.449432870373</v>
      </c>
    </row>
    <row r="8" spans="1:7" x14ac:dyDescent="0.25">
      <c r="A8" s="1">
        <v>44803</v>
      </c>
      <c r="B8">
        <v>16107625</v>
      </c>
      <c r="C8" s="27" t="s">
        <v>27</v>
      </c>
      <c r="D8" s="27" t="s">
        <v>43</v>
      </c>
      <c r="E8" s="27" t="s">
        <v>10</v>
      </c>
      <c r="F8" s="27" t="s">
        <v>20</v>
      </c>
      <c r="G8" s="25">
        <v>44802.632962962962</v>
      </c>
    </row>
    <row r="9" spans="1:7" x14ac:dyDescent="0.25">
      <c r="A9" s="1">
        <v>44802</v>
      </c>
      <c r="B9">
        <v>16123920</v>
      </c>
      <c r="C9" s="27" t="s">
        <v>25</v>
      </c>
      <c r="D9" s="27" t="s">
        <v>77</v>
      </c>
      <c r="E9" s="27" t="s">
        <v>10</v>
      </c>
      <c r="F9" s="27" t="s">
        <v>20</v>
      </c>
      <c r="G9" s="25">
        <v>44799.557662037034</v>
      </c>
    </row>
    <row r="10" spans="1:7" x14ac:dyDescent="0.25">
      <c r="A10" s="1">
        <v>44802</v>
      </c>
      <c r="B10">
        <v>16123930</v>
      </c>
      <c r="C10" s="27" t="s">
        <v>25</v>
      </c>
      <c r="D10" s="27" t="s">
        <v>78</v>
      </c>
      <c r="E10" s="27" t="s">
        <v>10</v>
      </c>
      <c r="F10" s="27" t="s">
        <v>20</v>
      </c>
      <c r="G10" s="25">
        <v>44799.557280092595</v>
      </c>
    </row>
    <row r="11" spans="1:7" x14ac:dyDescent="0.25">
      <c r="A11" s="1">
        <v>44802</v>
      </c>
      <c r="B11">
        <v>16124302</v>
      </c>
      <c r="C11" s="27" t="s">
        <v>22</v>
      </c>
      <c r="D11" s="27" t="s">
        <v>79</v>
      </c>
      <c r="E11" s="27" t="s">
        <v>10</v>
      </c>
      <c r="F11" s="27" t="s">
        <v>20</v>
      </c>
      <c r="G11" s="25">
        <v>44799.512662037036</v>
      </c>
    </row>
    <row r="12" spans="1:7" x14ac:dyDescent="0.25">
      <c r="A12" s="1">
        <v>44802</v>
      </c>
      <c r="B12">
        <v>16124314</v>
      </c>
      <c r="C12" s="27" t="s">
        <v>22</v>
      </c>
      <c r="D12" s="27" t="s">
        <v>80</v>
      </c>
      <c r="E12" s="27" t="s">
        <v>10</v>
      </c>
      <c r="F12" s="27" t="s">
        <v>20</v>
      </c>
      <c r="G12" s="25">
        <v>44799.514606481483</v>
      </c>
    </row>
    <row r="13" spans="1:7" x14ac:dyDescent="0.25">
      <c r="A13" s="1">
        <v>44802</v>
      </c>
      <c r="B13">
        <v>16124321</v>
      </c>
      <c r="C13" s="27" t="s">
        <v>22</v>
      </c>
      <c r="D13" s="27" t="s">
        <v>81</v>
      </c>
      <c r="E13" s="27" t="s">
        <v>10</v>
      </c>
      <c r="F13" s="27" t="s">
        <v>20</v>
      </c>
      <c r="G13" s="25">
        <v>44799.515902777777</v>
      </c>
    </row>
    <row r="14" spans="1:7" x14ac:dyDescent="0.25">
      <c r="A14" s="1">
        <v>44802</v>
      </c>
      <c r="B14">
        <v>16124560</v>
      </c>
      <c r="C14" s="27" t="s">
        <v>19</v>
      </c>
      <c r="D14" s="27" t="s">
        <v>82</v>
      </c>
      <c r="E14" s="27" t="s">
        <v>18</v>
      </c>
      <c r="F14" s="27" t="s">
        <v>20</v>
      </c>
      <c r="G14" s="25">
        <v>44799.556041666663</v>
      </c>
    </row>
    <row r="15" spans="1:7" x14ac:dyDescent="0.25">
      <c r="A15" s="1">
        <v>44802</v>
      </c>
      <c r="B15">
        <v>16124578</v>
      </c>
      <c r="C15" s="27" t="s">
        <v>19</v>
      </c>
      <c r="D15" s="27" t="s">
        <v>83</v>
      </c>
      <c r="E15" s="27" t="s">
        <v>10</v>
      </c>
      <c r="F15" s="27" t="s">
        <v>20</v>
      </c>
      <c r="G15" s="25">
        <v>44799.584374999999</v>
      </c>
    </row>
    <row r="16" spans="1:7" x14ac:dyDescent="0.25">
      <c r="A16" s="1">
        <v>44802</v>
      </c>
      <c r="B16">
        <v>16124594</v>
      </c>
      <c r="C16" s="27" t="s">
        <v>19</v>
      </c>
      <c r="D16" s="27" t="s">
        <v>84</v>
      </c>
      <c r="E16" s="27" t="s">
        <v>10</v>
      </c>
      <c r="F16" s="27" t="s">
        <v>20</v>
      </c>
      <c r="G16" s="25">
        <v>44799.585034722222</v>
      </c>
    </row>
    <row r="17" spans="1:7" x14ac:dyDescent="0.25">
      <c r="A17" s="1">
        <v>44802</v>
      </c>
      <c r="B17">
        <v>16124680</v>
      </c>
      <c r="C17" s="27" t="s">
        <v>19</v>
      </c>
      <c r="D17" s="27" t="s">
        <v>52</v>
      </c>
      <c r="E17" s="27" t="s">
        <v>10</v>
      </c>
      <c r="F17" s="27" t="s">
        <v>20</v>
      </c>
      <c r="G17" s="25">
        <v>44799.585474537038</v>
      </c>
    </row>
    <row r="18" spans="1:7" x14ac:dyDescent="0.25">
      <c r="A18" s="1">
        <v>44802</v>
      </c>
      <c r="B18">
        <v>16124830</v>
      </c>
      <c r="C18" s="27" t="s">
        <v>25</v>
      </c>
      <c r="D18" s="27" t="s">
        <v>85</v>
      </c>
      <c r="E18" s="27" t="s">
        <v>10</v>
      </c>
      <c r="F18" s="27" t="s">
        <v>20</v>
      </c>
      <c r="G18" s="25">
        <v>44799.577361111114</v>
      </c>
    </row>
    <row r="19" spans="1:7" x14ac:dyDescent="0.25">
      <c r="A19" s="1">
        <v>44802</v>
      </c>
      <c r="B19">
        <v>16124854</v>
      </c>
      <c r="C19" s="27" t="s">
        <v>25</v>
      </c>
      <c r="D19" s="27" t="s">
        <v>86</v>
      </c>
      <c r="E19" s="27" t="s">
        <v>17</v>
      </c>
      <c r="F19" s="27" t="s">
        <v>20</v>
      </c>
      <c r="G19" s="25">
        <v>44799.5778125</v>
      </c>
    </row>
    <row r="20" spans="1:7" x14ac:dyDescent="0.25">
      <c r="A20" s="1">
        <v>44802</v>
      </c>
      <c r="B20">
        <v>16124878</v>
      </c>
      <c r="C20" s="27" t="s">
        <v>25</v>
      </c>
      <c r="D20" s="27" t="s">
        <v>87</v>
      </c>
      <c r="E20" s="27" t="s">
        <v>10</v>
      </c>
      <c r="F20" s="27" t="s">
        <v>20</v>
      </c>
      <c r="G20" s="25">
        <v>44799.578182870369</v>
      </c>
    </row>
    <row r="21" spans="1:7" x14ac:dyDescent="0.25">
      <c r="A21" s="1">
        <v>44802</v>
      </c>
      <c r="B21">
        <v>16124901</v>
      </c>
      <c r="C21" s="27" t="s">
        <v>25</v>
      </c>
      <c r="D21" s="27" t="s">
        <v>88</v>
      </c>
      <c r="E21" s="27" t="s">
        <v>10</v>
      </c>
      <c r="F21" s="27" t="s">
        <v>20</v>
      </c>
      <c r="G21" s="25">
        <v>44799.578784722224</v>
      </c>
    </row>
    <row r="22" spans="1:7" x14ac:dyDescent="0.25">
      <c r="A22" s="1">
        <v>44802</v>
      </c>
      <c r="B22">
        <v>16124918</v>
      </c>
      <c r="C22" s="27" t="s">
        <v>26</v>
      </c>
      <c r="D22" s="27" t="s">
        <v>89</v>
      </c>
      <c r="E22" s="27" t="s">
        <v>17</v>
      </c>
      <c r="F22" s="27" t="s">
        <v>20</v>
      </c>
      <c r="G22" s="25">
        <v>44799.60328703704</v>
      </c>
    </row>
    <row r="23" spans="1:7" x14ac:dyDescent="0.25">
      <c r="A23" s="1">
        <v>44802</v>
      </c>
      <c r="B23">
        <v>16124993</v>
      </c>
      <c r="C23" s="27" t="s">
        <v>23</v>
      </c>
      <c r="D23" s="27" t="s">
        <v>90</v>
      </c>
      <c r="E23" s="27" t="s">
        <v>10</v>
      </c>
      <c r="F23" s="27" t="s">
        <v>20</v>
      </c>
      <c r="G23" s="25">
        <v>44799.580381944441</v>
      </c>
    </row>
    <row r="24" spans="1:7" x14ac:dyDescent="0.25">
      <c r="A24" s="1">
        <v>44802</v>
      </c>
      <c r="B24">
        <v>16125022</v>
      </c>
      <c r="C24" s="27" t="s">
        <v>23</v>
      </c>
      <c r="D24" s="27" t="s">
        <v>91</v>
      </c>
      <c r="E24" s="27" t="s">
        <v>10</v>
      </c>
      <c r="F24" s="27" t="s">
        <v>20</v>
      </c>
      <c r="G24" s="25">
        <v>44799.582060185188</v>
      </c>
    </row>
    <row r="25" spans="1:7" x14ac:dyDescent="0.25">
      <c r="A25" s="1">
        <v>44802</v>
      </c>
      <c r="B25">
        <v>16125037</v>
      </c>
      <c r="C25" s="27" t="s">
        <v>22</v>
      </c>
      <c r="D25" s="27" t="s">
        <v>92</v>
      </c>
      <c r="E25" s="27" t="s">
        <v>10</v>
      </c>
      <c r="F25" s="27" t="s">
        <v>20</v>
      </c>
      <c r="G25" s="25">
        <v>44799.611643518518</v>
      </c>
    </row>
    <row r="26" spans="1:7" x14ac:dyDescent="0.25">
      <c r="A26" s="1">
        <v>44802</v>
      </c>
      <c r="B26">
        <v>16125040</v>
      </c>
      <c r="C26" s="27" t="s">
        <v>19</v>
      </c>
      <c r="D26" s="27" t="s">
        <v>93</v>
      </c>
      <c r="E26" s="27" t="s">
        <v>10</v>
      </c>
      <c r="F26" s="27" t="s">
        <v>20</v>
      </c>
      <c r="G26" s="25">
        <v>44799.587650462963</v>
      </c>
    </row>
    <row r="27" spans="1:7" x14ac:dyDescent="0.25">
      <c r="A27" s="1">
        <v>44802</v>
      </c>
      <c r="B27">
        <v>16125071</v>
      </c>
      <c r="C27" s="27" t="s">
        <v>22</v>
      </c>
      <c r="D27" s="27" t="s">
        <v>94</v>
      </c>
      <c r="E27" s="27" t="s">
        <v>17</v>
      </c>
      <c r="F27" s="27" t="s">
        <v>20</v>
      </c>
      <c r="G27" s="25">
        <v>44799.610995370371</v>
      </c>
    </row>
    <row r="28" spans="1:7" x14ac:dyDescent="0.25">
      <c r="A28" s="1">
        <v>44802</v>
      </c>
      <c r="B28">
        <v>16125138</v>
      </c>
      <c r="C28" s="27" t="s">
        <v>22</v>
      </c>
      <c r="D28" s="27" t="s">
        <v>95</v>
      </c>
      <c r="E28" s="27" t="s">
        <v>17</v>
      </c>
      <c r="F28" s="27" t="s">
        <v>20</v>
      </c>
      <c r="G28" s="25">
        <v>44799.612210648149</v>
      </c>
    </row>
    <row r="29" spans="1:7" x14ac:dyDescent="0.25">
      <c r="A29" s="1">
        <v>44802</v>
      </c>
      <c r="B29">
        <v>16125141</v>
      </c>
      <c r="C29" s="27" t="s">
        <v>23</v>
      </c>
      <c r="D29" s="27" t="s">
        <v>96</v>
      </c>
      <c r="E29" s="27" t="s">
        <v>10</v>
      </c>
      <c r="F29" s="27" t="s">
        <v>20</v>
      </c>
      <c r="G29" s="25">
        <v>44799.589363425926</v>
      </c>
    </row>
    <row r="30" spans="1:7" x14ac:dyDescent="0.25">
      <c r="A30" s="1">
        <v>44802</v>
      </c>
      <c r="B30">
        <v>16125180</v>
      </c>
      <c r="C30" s="27" t="s">
        <v>22</v>
      </c>
      <c r="D30" s="27" t="s">
        <v>97</v>
      </c>
      <c r="E30" s="27" t="s">
        <v>17</v>
      </c>
      <c r="F30" s="27" t="s">
        <v>20</v>
      </c>
      <c r="G30" s="25">
        <v>44799.612662037034</v>
      </c>
    </row>
    <row r="31" spans="1:7" x14ac:dyDescent="0.25">
      <c r="A31" s="1">
        <v>44802</v>
      </c>
      <c r="B31">
        <v>16125189</v>
      </c>
      <c r="C31" s="27" t="s">
        <v>23</v>
      </c>
      <c r="D31" s="27" t="s">
        <v>98</v>
      </c>
      <c r="E31" s="27" t="s">
        <v>10</v>
      </c>
      <c r="F31" s="27" t="s">
        <v>20</v>
      </c>
      <c r="G31" s="25">
        <v>44799.591990740744</v>
      </c>
    </row>
    <row r="32" spans="1:7" x14ac:dyDescent="0.25">
      <c r="A32" s="1">
        <v>44802</v>
      </c>
      <c r="B32">
        <v>16125220</v>
      </c>
      <c r="C32" s="27" t="s">
        <v>22</v>
      </c>
      <c r="D32" s="27" t="s">
        <v>99</v>
      </c>
      <c r="E32" s="27" t="s">
        <v>10</v>
      </c>
      <c r="F32" s="27" t="s">
        <v>20</v>
      </c>
      <c r="G32" s="25">
        <v>44799.61310185185</v>
      </c>
    </row>
    <row r="33" spans="1:7" x14ac:dyDescent="0.25">
      <c r="A33" s="1">
        <v>44802</v>
      </c>
      <c r="B33">
        <v>16125245</v>
      </c>
      <c r="C33" s="27" t="s">
        <v>23</v>
      </c>
      <c r="D33" s="27" t="s">
        <v>100</v>
      </c>
      <c r="E33" s="27" t="s">
        <v>10</v>
      </c>
      <c r="F33" s="27" t="s">
        <v>20</v>
      </c>
      <c r="G33" s="25">
        <v>44799.595138888886</v>
      </c>
    </row>
    <row r="34" spans="1:7" x14ac:dyDescent="0.25">
      <c r="A34" s="1">
        <v>44802</v>
      </c>
      <c r="B34">
        <v>16125251</v>
      </c>
      <c r="C34" s="27" t="s">
        <v>22</v>
      </c>
      <c r="D34" s="27" t="s">
        <v>101</v>
      </c>
      <c r="E34" s="27" t="s">
        <v>10</v>
      </c>
      <c r="F34" s="27" t="s">
        <v>20</v>
      </c>
      <c r="G34" s="25">
        <v>44799.613634259258</v>
      </c>
    </row>
    <row r="35" spans="1:7" x14ac:dyDescent="0.25">
      <c r="A35" s="1">
        <v>44803</v>
      </c>
      <c r="B35">
        <v>16123752</v>
      </c>
      <c r="C35" s="27" t="s">
        <v>19</v>
      </c>
      <c r="D35" s="27" t="s">
        <v>102</v>
      </c>
      <c r="E35" s="27" t="s">
        <v>10</v>
      </c>
      <c r="F35" s="27" t="s">
        <v>20</v>
      </c>
      <c r="G35" s="25">
        <v>44799.441689814812</v>
      </c>
    </row>
    <row r="36" spans="1:7" x14ac:dyDescent="0.25">
      <c r="A36" s="1">
        <v>44802</v>
      </c>
      <c r="B36">
        <v>16125291</v>
      </c>
      <c r="C36" s="27" t="s">
        <v>22</v>
      </c>
      <c r="D36" s="27" t="s">
        <v>103</v>
      </c>
      <c r="E36" s="27" t="s">
        <v>17</v>
      </c>
      <c r="F36" s="27" t="s">
        <v>20</v>
      </c>
      <c r="G36" s="25">
        <v>44799.598182870373</v>
      </c>
    </row>
    <row r="37" spans="1:7" x14ac:dyDescent="0.25">
      <c r="A37" s="1">
        <v>44803</v>
      </c>
      <c r="B37">
        <v>16125268</v>
      </c>
      <c r="C37" s="27" t="s">
        <v>22</v>
      </c>
      <c r="D37" s="27" t="s">
        <v>104</v>
      </c>
      <c r="E37" s="27" t="s">
        <v>10</v>
      </c>
      <c r="F37" s="27" t="s">
        <v>20</v>
      </c>
      <c r="G37" s="25">
        <v>44799.614085648151</v>
      </c>
    </row>
    <row r="38" spans="1:7" x14ac:dyDescent="0.25">
      <c r="A38" s="1">
        <v>44802</v>
      </c>
      <c r="B38">
        <v>16125309</v>
      </c>
      <c r="C38" s="27" t="s">
        <v>23</v>
      </c>
      <c r="D38" s="27" t="s">
        <v>51</v>
      </c>
      <c r="E38" s="27" t="s">
        <v>10</v>
      </c>
      <c r="F38" s="27" t="s">
        <v>20</v>
      </c>
      <c r="G38" s="25">
        <v>44799.598900462966</v>
      </c>
    </row>
    <row r="39" spans="1:7" x14ac:dyDescent="0.25">
      <c r="A39" s="1">
        <v>44803</v>
      </c>
      <c r="B39">
        <v>16125305</v>
      </c>
      <c r="C39" s="27" t="s">
        <v>22</v>
      </c>
      <c r="D39" s="27" t="s">
        <v>105</v>
      </c>
      <c r="E39" s="27" t="s">
        <v>13</v>
      </c>
      <c r="F39" s="27" t="s">
        <v>20</v>
      </c>
      <c r="G39" s="25">
        <v>44799.614479166667</v>
      </c>
    </row>
    <row r="40" spans="1:7" x14ac:dyDescent="0.25">
      <c r="A40" s="1">
        <v>44803</v>
      </c>
      <c r="B40">
        <v>16125329</v>
      </c>
      <c r="C40" s="27" t="s">
        <v>22</v>
      </c>
      <c r="D40" s="27" t="s">
        <v>106</v>
      </c>
      <c r="E40" s="27" t="s">
        <v>13</v>
      </c>
      <c r="F40" s="27" t="s">
        <v>20</v>
      </c>
      <c r="G40" s="25">
        <v>44799.614884259259</v>
      </c>
    </row>
    <row r="41" spans="1:7" x14ac:dyDescent="0.25">
      <c r="A41" s="1">
        <v>44802</v>
      </c>
      <c r="B41">
        <v>16125363</v>
      </c>
      <c r="C41" s="27" t="s">
        <v>23</v>
      </c>
      <c r="D41" s="27" t="s">
        <v>50</v>
      </c>
      <c r="E41" s="27" t="s">
        <v>10</v>
      </c>
      <c r="F41" s="27" t="s">
        <v>20</v>
      </c>
      <c r="G41" s="25">
        <v>44799.602037037039</v>
      </c>
    </row>
    <row r="42" spans="1:7" x14ac:dyDescent="0.25">
      <c r="A42" s="1">
        <v>44803</v>
      </c>
      <c r="B42">
        <v>16125358</v>
      </c>
      <c r="C42" s="27" t="s">
        <v>22</v>
      </c>
      <c r="D42" s="27" t="s">
        <v>107</v>
      </c>
      <c r="E42" s="27" t="s">
        <v>10</v>
      </c>
      <c r="F42" s="27" t="s">
        <v>20</v>
      </c>
      <c r="G42" s="25">
        <v>44799.615324074075</v>
      </c>
    </row>
    <row r="43" spans="1:7" x14ac:dyDescent="0.25">
      <c r="A43" s="1">
        <v>44802</v>
      </c>
      <c r="B43">
        <v>16125506</v>
      </c>
      <c r="C43" s="27" t="s">
        <v>23</v>
      </c>
      <c r="D43" s="27" t="s">
        <v>108</v>
      </c>
      <c r="E43" s="27" t="s">
        <v>10</v>
      </c>
      <c r="F43" s="27" t="s">
        <v>20</v>
      </c>
      <c r="G43" s="25">
        <v>44799.61005787037</v>
      </c>
    </row>
    <row r="44" spans="1:7" x14ac:dyDescent="0.25">
      <c r="A44" s="1">
        <v>44802</v>
      </c>
      <c r="B44">
        <v>16125529</v>
      </c>
      <c r="C44" s="27" t="s">
        <v>19</v>
      </c>
      <c r="D44" s="27" t="s">
        <v>109</v>
      </c>
      <c r="E44" s="27" t="s">
        <v>18</v>
      </c>
      <c r="F44" s="27" t="s">
        <v>20</v>
      </c>
      <c r="G44" s="25">
        <v>44799.612060185187</v>
      </c>
    </row>
    <row r="45" spans="1:7" x14ac:dyDescent="0.25">
      <c r="A45" s="1">
        <v>44802</v>
      </c>
      <c r="B45">
        <v>16125534</v>
      </c>
      <c r="C45" s="27" t="s">
        <v>23</v>
      </c>
      <c r="D45" s="27" t="s">
        <v>110</v>
      </c>
      <c r="E45" s="27" t="s">
        <v>10</v>
      </c>
      <c r="F45" s="27" t="s">
        <v>20</v>
      </c>
      <c r="G45" s="25">
        <v>44799.611770833333</v>
      </c>
    </row>
    <row r="46" spans="1:7" x14ac:dyDescent="0.25">
      <c r="A46" s="1">
        <v>44802</v>
      </c>
      <c r="B46">
        <v>16125550</v>
      </c>
      <c r="C46" s="27" t="s">
        <v>23</v>
      </c>
      <c r="D46" s="27" t="s">
        <v>111</v>
      </c>
      <c r="E46" s="27" t="s">
        <v>10</v>
      </c>
      <c r="F46" s="27" t="s">
        <v>20</v>
      </c>
      <c r="G46" s="25">
        <v>44799.612962962965</v>
      </c>
    </row>
    <row r="47" spans="1:7" x14ac:dyDescent="0.25">
      <c r="A47" s="1">
        <v>44802</v>
      </c>
      <c r="B47">
        <v>16125577</v>
      </c>
      <c r="C47" s="27" t="s">
        <v>23</v>
      </c>
      <c r="D47" s="27" t="s">
        <v>112</v>
      </c>
      <c r="E47" s="27" t="s">
        <v>18</v>
      </c>
      <c r="F47" s="27" t="s">
        <v>20</v>
      </c>
      <c r="G47" s="25">
        <v>44799.614398148151</v>
      </c>
    </row>
    <row r="48" spans="1:7" x14ac:dyDescent="0.25">
      <c r="A48" s="1">
        <v>44802</v>
      </c>
      <c r="B48">
        <v>16125579</v>
      </c>
      <c r="C48" s="27" t="s">
        <v>19</v>
      </c>
      <c r="D48" s="27" t="s">
        <v>113</v>
      </c>
      <c r="E48" s="27" t="s">
        <v>10</v>
      </c>
      <c r="F48" s="27" t="s">
        <v>20</v>
      </c>
      <c r="G48" s="25">
        <v>44799.615428240744</v>
      </c>
    </row>
    <row r="49" spans="1:7" x14ac:dyDescent="0.25">
      <c r="A49" s="1">
        <v>44802</v>
      </c>
      <c r="B49">
        <v>16125715</v>
      </c>
      <c r="C49" s="27" t="s">
        <v>19</v>
      </c>
      <c r="D49" s="27" t="s">
        <v>114</v>
      </c>
      <c r="E49" s="27" t="s">
        <v>10</v>
      </c>
      <c r="F49" s="27" t="s">
        <v>20</v>
      </c>
      <c r="G49" s="25">
        <v>44799.622210648151</v>
      </c>
    </row>
    <row r="50" spans="1:7" x14ac:dyDescent="0.25">
      <c r="A50" s="1">
        <v>44802</v>
      </c>
      <c r="B50">
        <v>16125747</v>
      </c>
      <c r="C50" s="27" t="s">
        <v>23</v>
      </c>
      <c r="D50" s="27" t="s">
        <v>76</v>
      </c>
      <c r="E50" s="27" t="s">
        <v>10</v>
      </c>
      <c r="F50" s="27" t="s">
        <v>20</v>
      </c>
      <c r="G50" s="25">
        <v>44799.622824074075</v>
      </c>
    </row>
    <row r="51" spans="1:7" x14ac:dyDescent="0.25">
      <c r="A51" s="1">
        <v>44802</v>
      </c>
      <c r="B51">
        <v>16125776</v>
      </c>
      <c r="C51" s="27" t="s">
        <v>23</v>
      </c>
      <c r="D51" s="27" t="s">
        <v>115</v>
      </c>
      <c r="E51" s="27" t="s">
        <v>17</v>
      </c>
      <c r="F51" s="27" t="s">
        <v>20</v>
      </c>
      <c r="G51" s="25">
        <v>44799.624456018515</v>
      </c>
    </row>
    <row r="52" spans="1:7" x14ac:dyDescent="0.25">
      <c r="A52" s="1">
        <v>44802</v>
      </c>
      <c r="B52">
        <v>16125777</v>
      </c>
      <c r="C52" s="27" t="s">
        <v>19</v>
      </c>
      <c r="D52" s="27" t="s">
        <v>116</v>
      </c>
      <c r="E52" s="27" t="s">
        <v>10</v>
      </c>
      <c r="F52" s="27" t="s">
        <v>20</v>
      </c>
      <c r="G52" s="25">
        <v>44799.625092592592</v>
      </c>
    </row>
    <row r="53" spans="1:7" x14ac:dyDescent="0.25">
      <c r="A53" s="1">
        <v>44804</v>
      </c>
      <c r="B53">
        <v>16125382</v>
      </c>
      <c r="C53" s="27" t="s">
        <v>22</v>
      </c>
      <c r="D53" s="27" t="s">
        <v>117</v>
      </c>
      <c r="E53" s="27" t="s">
        <v>13</v>
      </c>
      <c r="F53" s="27" t="s">
        <v>20</v>
      </c>
      <c r="G53" s="25">
        <v>44799.615902777776</v>
      </c>
    </row>
    <row r="54" spans="1:7" x14ac:dyDescent="0.25">
      <c r="A54" s="1">
        <v>44802</v>
      </c>
      <c r="B54">
        <v>16125855</v>
      </c>
      <c r="C54" s="27" t="s">
        <v>23</v>
      </c>
      <c r="D54" s="27" t="s">
        <v>118</v>
      </c>
      <c r="E54" s="27" t="s">
        <v>10</v>
      </c>
      <c r="F54" s="27" t="s">
        <v>20</v>
      </c>
      <c r="G54" s="25">
        <v>44799.629606481481</v>
      </c>
    </row>
    <row r="55" spans="1:7" x14ac:dyDescent="0.25">
      <c r="A55" s="1">
        <v>44802</v>
      </c>
      <c r="B55">
        <v>16125884</v>
      </c>
      <c r="C55" s="27" t="s">
        <v>23</v>
      </c>
      <c r="D55" s="27" t="s">
        <v>119</v>
      </c>
      <c r="E55" s="27" t="s">
        <v>10</v>
      </c>
      <c r="F55" s="27" t="s">
        <v>20</v>
      </c>
      <c r="G55" s="25">
        <v>44799.631840277776</v>
      </c>
    </row>
    <row r="56" spans="1:7" x14ac:dyDescent="0.25">
      <c r="A56" s="1">
        <v>44802</v>
      </c>
      <c r="B56">
        <v>16125902</v>
      </c>
      <c r="C56" s="27" t="s">
        <v>27</v>
      </c>
      <c r="D56" s="27" t="s">
        <v>69</v>
      </c>
      <c r="E56" s="27"/>
      <c r="F56" s="27" t="s">
        <v>20</v>
      </c>
      <c r="G56" s="25">
        <v>44799.633206018516</v>
      </c>
    </row>
    <row r="57" spans="1:7" x14ac:dyDescent="0.25">
      <c r="A57" s="1">
        <v>44803</v>
      </c>
      <c r="B57">
        <v>16125669</v>
      </c>
      <c r="C57" s="27" t="s">
        <v>23</v>
      </c>
      <c r="D57" s="27" t="s">
        <v>120</v>
      </c>
      <c r="E57" s="27" t="s">
        <v>10</v>
      </c>
      <c r="F57" s="27" t="s">
        <v>20</v>
      </c>
      <c r="G57" s="25">
        <v>44803.45585648148</v>
      </c>
    </row>
    <row r="58" spans="1:7" x14ac:dyDescent="0.25">
      <c r="A58" s="1">
        <v>44804</v>
      </c>
      <c r="B58">
        <v>16125849</v>
      </c>
      <c r="C58" s="27" t="s">
        <v>22</v>
      </c>
      <c r="D58" s="27" t="s">
        <v>121</v>
      </c>
      <c r="E58" s="27" t="s">
        <v>10</v>
      </c>
      <c r="F58" s="27" t="s">
        <v>20</v>
      </c>
      <c r="G58" s="25">
        <v>44799.639120370368</v>
      </c>
    </row>
    <row r="59" spans="1:7" x14ac:dyDescent="0.25">
      <c r="A59" s="1">
        <v>44804</v>
      </c>
      <c r="B59">
        <v>16125907</v>
      </c>
      <c r="C59" s="27" t="s">
        <v>22</v>
      </c>
      <c r="D59" s="27" t="s">
        <v>122</v>
      </c>
      <c r="E59" s="27" t="s">
        <v>17</v>
      </c>
      <c r="F59" s="27" t="s">
        <v>20</v>
      </c>
      <c r="G59" s="25">
        <v>44799.638206018521</v>
      </c>
    </row>
    <row r="60" spans="1:7" x14ac:dyDescent="0.25">
      <c r="A60" s="1">
        <v>44803</v>
      </c>
      <c r="B60">
        <v>16125935</v>
      </c>
      <c r="C60" s="27" t="s">
        <v>22</v>
      </c>
      <c r="D60" s="27" t="s">
        <v>123</v>
      </c>
      <c r="E60" s="27" t="s">
        <v>10</v>
      </c>
      <c r="F60" s="27" t="s">
        <v>20</v>
      </c>
      <c r="G60" s="25">
        <v>44799.635324074072</v>
      </c>
    </row>
    <row r="61" spans="1:7" x14ac:dyDescent="0.25">
      <c r="A61" s="1">
        <v>44802</v>
      </c>
      <c r="B61">
        <v>16125938</v>
      </c>
      <c r="C61" s="27" t="s">
        <v>23</v>
      </c>
      <c r="D61" s="27" t="s">
        <v>124</v>
      </c>
      <c r="E61" s="27" t="s">
        <v>10</v>
      </c>
      <c r="F61" s="27" t="s">
        <v>20</v>
      </c>
      <c r="G61" s="25">
        <v>44799.635011574072</v>
      </c>
    </row>
    <row r="62" spans="1:7" x14ac:dyDescent="0.25">
      <c r="A62" s="1">
        <v>44802</v>
      </c>
      <c r="B62">
        <v>16126070</v>
      </c>
      <c r="C62" s="27" t="s">
        <v>22</v>
      </c>
      <c r="D62" s="27" t="s">
        <v>125</v>
      </c>
      <c r="E62" s="27" t="s">
        <v>10</v>
      </c>
      <c r="F62" s="27" t="s">
        <v>20</v>
      </c>
      <c r="G62" s="25">
        <v>44799.645856481482</v>
      </c>
    </row>
    <row r="63" spans="1:7" x14ac:dyDescent="0.25">
      <c r="A63" s="1">
        <v>44802</v>
      </c>
      <c r="B63">
        <v>16126119</v>
      </c>
      <c r="C63" s="27" t="s">
        <v>22</v>
      </c>
      <c r="D63" s="27" t="s">
        <v>126</v>
      </c>
      <c r="E63" s="27" t="s">
        <v>10</v>
      </c>
      <c r="F63" s="27" t="s">
        <v>20</v>
      </c>
      <c r="G63" s="25">
        <v>44799.647245370368</v>
      </c>
    </row>
    <row r="64" spans="1:7" x14ac:dyDescent="0.25">
      <c r="A64" s="1">
        <v>44802</v>
      </c>
      <c r="B64">
        <v>16130687</v>
      </c>
      <c r="C64" s="27" t="s">
        <v>25</v>
      </c>
      <c r="D64" s="27" t="s">
        <v>127</v>
      </c>
      <c r="E64" s="27" t="s">
        <v>10</v>
      </c>
      <c r="F64" s="27" t="s">
        <v>20</v>
      </c>
      <c r="G64" s="25">
        <v>44802.372083333335</v>
      </c>
    </row>
    <row r="65" spans="1:7" x14ac:dyDescent="0.25">
      <c r="A65" s="1">
        <v>44802</v>
      </c>
      <c r="B65">
        <v>16130709</v>
      </c>
      <c r="C65" s="27" t="s">
        <v>23</v>
      </c>
      <c r="D65" s="27" t="s">
        <v>128</v>
      </c>
      <c r="E65" s="27" t="s">
        <v>10</v>
      </c>
      <c r="F65" s="27" t="s">
        <v>20</v>
      </c>
      <c r="G65" s="25">
        <v>44802.373101851852</v>
      </c>
    </row>
    <row r="66" spans="1:7" x14ac:dyDescent="0.25">
      <c r="A66" s="1">
        <v>44802</v>
      </c>
      <c r="B66">
        <v>16130818</v>
      </c>
      <c r="C66" s="27" t="s">
        <v>26</v>
      </c>
      <c r="D66" s="27" t="s">
        <v>129</v>
      </c>
      <c r="E66" s="27" t="s">
        <v>17</v>
      </c>
      <c r="F66" s="27" t="s">
        <v>20</v>
      </c>
      <c r="G66" s="25">
        <v>44802.389675925922</v>
      </c>
    </row>
    <row r="67" spans="1:7" x14ac:dyDescent="0.25">
      <c r="A67" s="1">
        <v>44802</v>
      </c>
      <c r="B67">
        <v>16130833</v>
      </c>
      <c r="C67" s="27" t="s">
        <v>26</v>
      </c>
      <c r="D67" s="27" t="s">
        <v>130</v>
      </c>
      <c r="E67" s="27" t="s">
        <v>17</v>
      </c>
      <c r="F67" s="27" t="s">
        <v>20</v>
      </c>
      <c r="G67" s="25">
        <v>44802.389178240737</v>
      </c>
    </row>
    <row r="68" spans="1:7" x14ac:dyDescent="0.25">
      <c r="A68" s="1">
        <v>44802</v>
      </c>
      <c r="B68">
        <v>16130858</v>
      </c>
      <c r="C68" s="27" t="s">
        <v>26</v>
      </c>
      <c r="D68" s="27" t="s">
        <v>131</v>
      </c>
      <c r="E68" s="27" t="s">
        <v>17</v>
      </c>
      <c r="F68" s="27" t="s">
        <v>20</v>
      </c>
      <c r="G68" s="25">
        <v>44802.388715277775</v>
      </c>
    </row>
    <row r="69" spans="1:7" x14ac:dyDescent="0.25">
      <c r="A69" s="1">
        <v>44802</v>
      </c>
      <c r="B69">
        <v>16131635</v>
      </c>
      <c r="C69" s="27" t="s">
        <v>23</v>
      </c>
      <c r="D69" s="27" t="s">
        <v>132</v>
      </c>
      <c r="E69" s="27" t="s">
        <v>10</v>
      </c>
      <c r="F69" s="27" t="s">
        <v>20</v>
      </c>
      <c r="G69" s="25">
        <v>44802.449907407405</v>
      </c>
    </row>
    <row r="70" spans="1:7" x14ac:dyDescent="0.25">
      <c r="A70" s="1">
        <v>44803</v>
      </c>
      <c r="B70">
        <v>16125935</v>
      </c>
      <c r="C70" s="27" t="s">
        <v>22</v>
      </c>
      <c r="D70" s="27" t="s">
        <v>123</v>
      </c>
      <c r="E70" s="27" t="s">
        <v>10</v>
      </c>
      <c r="F70" s="27" t="s">
        <v>20</v>
      </c>
      <c r="G70" s="25">
        <v>44799.636331018519</v>
      </c>
    </row>
    <row r="71" spans="1:7" x14ac:dyDescent="0.25">
      <c r="A71" s="1">
        <v>44803</v>
      </c>
      <c r="B71">
        <v>16125935</v>
      </c>
      <c r="C71" s="27" t="s">
        <v>22</v>
      </c>
      <c r="D71" s="27" t="s">
        <v>123</v>
      </c>
      <c r="E71" s="27" t="s">
        <v>10</v>
      </c>
      <c r="F71" s="27" t="s">
        <v>20</v>
      </c>
      <c r="G71" s="25">
        <v>44799.637731481482</v>
      </c>
    </row>
    <row r="72" spans="1:7" x14ac:dyDescent="0.25">
      <c r="A72" s="1">
        <v>44803</v>
      </c>
      <c r="B72">
        <v>16132473</v>
      </c>
      <c r="C72" s="27" t="s">
        <v>25</v>
      </c>
      <c r="D72" s="27" t="s">
        <v>53</v>
      </c>
      <c r="E72" s="27" t="s">
        <v>10</v>
      </c>
      <c r="F72" s="27" t="s">
        <v>20</v>
      </c>
      <c r="G72" s="25">
        <v>44802.56627314815</v>
      </c>
    </row>
    <row r="73" spans="1:7" x14ac:dyDescent="0.25">
      <c r="A73" s="1">
        <v>44803</v>
      </c>
      <c r="B73">
        <v>16132487</v>
      </c>
      <c r="C73" s="27" t="s">
        <v>25</v>
      </c>
      <c r="D73" s="27" t="s">
        <v>133</v>
      </c>
      <c r="E73" s="27" t="s">
        <v>10</v>
      </c>
      <c r="F73" s="27" t="s">
        <v>20</v>
      </c>
      <c r="G73" s="25">
        <v>44802.567164351851</v>
      </c>
    </row>
    <row r="74" spans="1:7" x14ac:dyDescent="0.25">
      <c r="A74" s="1">
        <v>44803</v>
      </c>
      <c r="B74">
        <v>16132561</v>
      </c>
      <c r="C74" s="27" t="s">
        <v>22</v>
      </c>
      <c r="D74" s="27" t="s">
        <v>134</v>
      </c>
      <c r="E74" s="27" t="s">
        <v>10</v>
      </c>
      <c r="F74" s="27" t="s">
        <v>20</v>
      </c>
      <c r="G74" s="25">
        <v>44802.571284722224</v>
      </c>
    </row>
    <row r="75" spans="1:7" x14ac:dyDescent="0.25">
      <c r="A75" s="1">
        <v>44803</v>
      </c>
      <c r="B75">
        <v>16132614</v>
      </c>
      <c r="C75" s="27" t="s">
        <v>23</v>
      </c>
      <c r="D75" s="27" t="s">
        <v>135</v>
      </c>
      <c r="E75" s="27" t="s">
        <v>10</v>
      </c>
      <c r="F75" s="27" t="s">
        <v>20</v>
      </c>
      <c r="G75" s="25">
        <v>44802.574826388889</v>
      </c>
    </row>
    <row r="76" spans="1:7" x14ac:dyDescent="0.25">
      <c r="A76" s="1">
        <v>44803</v>
      </c>
      <c r="B76">
        <v>16132676</v>
      </c>
      <c r="C76" s="27" t="s">
        <v>22</v>
      </c>
      <c r="D76" s="27" t="s">
        <v>136</v>
      </c>
      <c r="E76" s="27" t="s">
        <v>10</v>
      </c>
      <c r="F76" s="27" t="s">
        <v>20</v>
      </c>
      <c r="G76" s="25">
        <v>44802.582638888889</v>
      </c>
    </row>
    <row r="77" spans="1:7" x14ac:dyDescent="0.25">
      <c r="A77" s="1">
        <v>44804</v>
      </c>
      <c r="B77">
        <v>16132901</v>
      </c>
      <c r="C77" s="27" t="s">
        <v>19</v>
      </c>
      <c r="D77" s="27" t="s">
        <v>137</v>
      </c>
      <c r="E77" s="27" t="s">
        <v>17</v>
      </c>
      <c r="F77" s="27" t="s">
        <v>20</v>
      </c>
      <c r="G77" s="25">
        <v>44802.594143518516</v>
      </c>
    </row>
    <row r="78" spans="1:7" x14ac:dyDescent="0.25">
      <c r="A78" s="1">
        <v>44803</v>
      </c>
      <c r="B78">
        <v>16132907</v>
      </c>
      <c r="C78" s="27" t="s">
        <v>22</v>
      </c>
      <c r="D78" s="27" t="s">
        <v>138</v>
      </c>
      <c r="E78" s="27" t="s">
        <v>10</v>
      </c>
      <c r="F78" s="27" t="s">
        <v>20</v>
      </c>
      <c r="G78" s="25">
        <v>44802.594409722224</v>
      </c>
    </row>
    <row r="79" spans="1:7" x14ac:dyDescent="0.25">
      <c r="A79" s="1">
        <v>44803</v>
      </c>
      <c r="B79">
        <v>16132947</v>
      </c>
      <c r="C79" s="27" t="s">
        <v>22</v>
      </c>
      <c r="D79" s="27" t="s">
        <v>139</v>
      </c>
      <c r="E79" s="27" t="s">
        <v>10</v>
      </c>
      <c r="F79" s="27" t="s">
        <v>20</v>
      </c>
      <c r="G79" s="25">
        <v>44802.597094907411</v>
      </c>
    </row>
    <row r="80" spans="1:7" x14ac:dyDescent="0.25">
      <c r="A80" s="1">
        <v>44803</v>
      </c>
      <c r="B80">
        <v>16132966</v>
      </c>
      <c r="C80" s="27" t="s">
        <v>22</v>
      </c>
      <c r="D80" s="27" t="s">
        <v>140</v>
      </c>
      <c r="E80" s="27" t="s">
        <v>10</v>
      </c>
      <c r="F80" s="27" t="s">
        <v>20</v>
      </c>
      <c r="G80" s="25">
        <v>44802.598645833335</v>
      </c>
    </row>
    <row r="81" spans="1:7" x14ac:dyDescent="0.25">
      <c r="A81" s="1">
        <v>44803</v>
      </c>
      <c r="B81">
        <v>16133092</v>
      </c>
      <c r="C81" s="27" t="s">
        <v>23</v>
      </c>
      <c r="D81" s="27" t="s">
        <v>141</v>
      </c>
      <c r="E81" s="27" t="s">
        <v>10</v>
      </c>
      <c r="F81" s="27" t="s">
        <v>20</v>
      </c>
      <c r="G81" s="25">
        <v>44802.609479166669</v>
      </c>
    </row>
    <row r="82" spans="1:7" x14ac:dyDescent="0.25">
      <c r="A82" s="1">
        <v>44803</v>
      </c>
      <c r="B82">
        <v>16133194</v>
      </c>
      <c r="C82" s="27" t="s">
        <v>23</v>
      </c>
      <c r="D82" s="27" t="s">
        <v>142</v>
      </c>
      <c r="E82" s="27" t="s">
        <v>10</v>
      </c>
      <c r="F82" s="27" t="s">
        <v>20</v>
      </c>
      <c r="G82" s="25">
        <v>44802.617743055554</v>
      </c>
    </row>
    <row r="83" spans="1:7" x14ac:dyDescent="0.25">
      <c r="A83" s="1">
        <v>44803</v>
      </c>
      <c r="B83">
        <v>16133279</v>
      </c>
      <c r="C83" s="27" t="s">
        <v>22</v>
      </c>
      <c r="D83" s="27" t="s">
        <v>143</v>
      </c>
      <c r="E83" s="27"/>
      <c r="F83" s="27" t="s">
        <v>20</v>
      </c>
      <c r="G83" s="25">
        <v>44802.627581018518</v>
      </c>
    </row>
    <row r="84" spans="1:7" x14ac:dyDescent="0.25">
      <c r="A84" s="1">
        <v>44805</v>
      </c>
      <c r="B84">
        <v>16097053</v>
      </c>
      <c r="C84" s="27" t="s">
        <v>26</v>
      </c>
      <c r="D84" s="27" t="s">
        <v>183</v>
      </c>
      <c r="E84" s="27" t="s">
        <v>18</v>
      </c>
      <c r="F84" s="27" t="s">
        <v>20</v>
      </c>
      <c r="G84" s="25">
        <v>44804.575671296298</v>
      </c>
    </row>
    <row r="85" spans="1:7" x14ac:dyDescent="0.25">
      <c r="A85" s="1">
        <v>44805</v>
      </c>
      <c r="B85">
        <v>16125432</v>
      </c>
      <c r="C85" s="27" t="s">
        <v>22</v>
      </c>
      <c r="D85" s="27" t="s">
        <v>144</v>
      </c>
      <c r="E85" s="27"/>
      <c r="F85" s="27" t="s">
        <v>20</v>
      </c>
      <c r="G85" s="25">
        <v>44799.616365740738</v>
      </c>
    </row>
    <row r="86" spans="1:7" x14ac:dyDescent="0.25">
      <c r="A86" s="1">
        <v>44806</v>
      </c>
      <c r="B86">
        <v>16125456</v>
      </c>
      <c r="C86" s="27" t="s">
        <v>22</v>
      </c>
      <c r="D86" s="27" t="s">
        <v>148</v>
      </c>
      <c r="E86" s="27" t="s">
        <v>10</v>
      </c>
      <c r="F86" s="27" t="s">
        <v>20</v>
      </c>
      <c r="G86" s="25">
        <v>44799.616990740738</v>
      </c>
    </row>
    <row r="87" spans="1:7" x14ac:dyDescent="0.25">
      <c r="A87" s="1">
        <v>44806</v>
      </c>
      <c r="B87">
        <v>16125694</v>
      </c>
      <c r="C87" s="27" t="s">
        <v>22</v>
      </c>
      <c r="D87" s="27" t="s">
        <v>491</v>
      </c>
      <c r="E87" s="27" t="s">
        <v>18</v>
      </c>
      <c r="F87" s="27" t="s">
        <v>20</v>
      </c>
      <c r="G87" s="25">
        <v>44806.405636574076</v>
      </c>
    </row>
    <row r="88" spans="1:7" x14ac:dyDescent="0.25">
      <c r="A88" s="1">
        <v>44806</v>
      </c>
      <c r="B88">
        <v>16125784</v>
      </c>
      <c r="C88" s="27" t="s">
        <v>22</v>
      </c>
      <c r="D88" s="27" t="s">
        <v>150</v>
      </c>
      <c r="E88" s="27" t="s">
        <v>17</v>
      </c>
      <c r="F88" s="27" t="s">
        <v>20</v>
      </c>
      <c r="G88" s="25">
        <v>44799.640150462961</v>
      </c>
    </row>
    <row r="89" spans="1:7" x14ac:dyDescent="0.25">
      <c r="A89" s="1">
        <v>44806</v>
      </c>
      <c r="B89">
        <v>16125812</v>
      </c>
      <c r="C89" s="27" t="s">
        <v>22</v>
      </c>
      <c r="D89" s="27" t="s">
        <v>149</v>
      </c>
      <c r="E89" s="27" t="s">
        <v>10</v>
      </c>
      <c r="F89" s="27" t="s">
        <v>20</v>
      </c>
      <c r="G89" s="25">
        <v>44799.639641203707</v>
      </c>
    </row>
    <row r="90" spans="1:7" x14ac:dyDescent="0.25">
      <c r="A90" s="1">
        <v>44805</v>
      </c>
      <c r="B90">
        <v>16125866</v>
      </c>
      <c r="C90" s="27" t="s">
        <v>22</v>
      </c>
      <c r="D90" s="27" t="s">
        <v>145</v>
      </c>
      <c r="E90" s="27" t="s">
        <v>10</v>
      </c>
      <c r="F90" s="27" t="s">
        <v>20</v>
      </c>
      <c r="G90" s="25">
        <v>44799.638680555552</v>
      </c>
    </row>
    <row r="91" spans="1:7" x14ac:dyDescent="0.25">
      <c r="A91" s="1">
        <v>44803</v>
      </c>
      <c r="B91">
        <v>16133318</v>
      </c>
      <c r="C91" s="27" t="s">
        <v>23</v>
      </c>
      <c r="D91" s="27" t="s">
        <v>151</v>
      </c>
      <c r="E91" s="27" t="s">
        <v>10</v>
      </c>
      <c r="F91" s="27" t="s">
        <v>20</v>
      </c>
      <c r="G91" s="25">
        <v>44802.68849537037</v>
      </c>
    </row>
    <row r="92" spans="1:7" x14ac:dyDescent="0.25">
      <c r="A92" s="1">
        <v>44803</v>
      </c>
      <c r="B92">
        <v>16133430</v>
      </c>
      <c r="C92" s="27" t="s">
        <v>19</v>
      </c>
      <c r="D92" s="27" t="s">
        <v>152</v>
      </c>
      <c r="E92" s="27"/>
      <c r="F92" s="27" t="s">
        <v>20</v>
      </c>
      <c r="G92" s="25">
        <v>44802.642557870371</v>
      </c>
    </row>
    <row r="93" spans="1:7" x14ac:dyDescent="0.25">
      <c r="A93" s="1">
        <v>44803</v>
      </c>
      <c r="B93">
        <v>16133511</v>
      </c>
      <c r="C93" s="27" t="s">
        <v>23</v>
      </c>
      <c r="D93" s="27" t="s">
        <v>153</v>
      </c>
      <c r="E93" s="27" t="s">
        <v>10</v>
      </c>
      <c r="F93" s="27" t="s">
        <v>20</v>
      </c>
      <c r="G93" s="25">
        <v>44802.647152777776</v>
      </c>
    </row>
    <row r="94" spans="1:7" x14ac:dyDescent="0.25">
      <c r="A94" s="1">
        <v>44803</v>
      </c>
      <c r="B94">
        <v>16133523</v>
      </c>
      <c r="C94" s="27" t="s">
        <v>23</v>
      </c>
      <c r="D94" s="27" t="s">
        <v>51</v>
      </c>
      <c r="E94" s="27" t="s">
        <v>10</v>
      </c>
      <c r="F94" s="27" t="s">
        <v>20</v>
      </c>
      <c r="G94" s="25">
        <v>44802.647916666669</v>
      </c>
    </row>
    <row r="95" spans="1:7" x14ac:dyDescent="0.25">
      <c r="A95" s="1">
        <v>44803</v>
      </c>
      <c r="B95">
        <v>16133768</v>
      </c>
      <c r="C95" s="27" t="s">
        <v>19</v>
      </c>
      <c r="D95" s="27" t="s">
        <v>154</v>
      </c>
      <c r="E95" s="27" t="s">
        <v>10</v>
      </c>
      <c r="F95" s="27" t="s">
        <v>20</v>
      </c>
      <c r="G95" s="25">
        <v>44802.667557870373</v>
      </c>
    </row>
    <row r="96" spans="1:7" x14ac:dyDescent="0.25">
      <c r="A96" s="1">
        <v>44802</v>
      </c>
      <c r="B96">
        <v>16133940</v>
      </c>
      <c r="C96" s="27" t="s">
        <v>22</v>
      </c>
      <c r="D96" s="27" t="s">
        <v>155</v>
      </c>
      <c r="E96" s="27" t="s">
        <v>17</v>
      </c>
      <c r="F96" s="27" t="s">
        <v>20</v>
      </c>
      <c r="G96" s="25">
        <v>44802.688726851855</v>
      </c>
    </row>
    <row r="97" spans="1:7" x14ac:dyDescent="0.25">
      <c r="A97" s="1">
        <v>44802</v>
      </c>
      <c r="B97">
        <v>16134007</v>
      </c>
      <c r="C97" s="27" t="s">
        <v>23</v>
      </c>
      <c r="D97" s="27" t="s">
        <v>156</v>
      </c>
      <c r="E97" s="27" t="s">
        <v>17</v>
      </c>
      <c r="F97" s="27" t="s">
        <v>20</v>
      </c>
      <c r="G97" s="25">
        <v>44802.69935185185</v>
      </c>
    </row>
    <row r="98" spans="1:7" x14ac:dyDescent="0.25">
      <c r="A98" s="1">
        <v>44803</v>
      </c>
      <c r="B98">
        <v>16133786</v>
      </c>
      <c r="C98" s="27" t="s">
        <v>19</v>
      </c>
      <c r="D98" s="27" t="s">
        <v>157</v>
      </c>
      <c r="E98" s="27" t="s">
        <v>10</v>
      </c>
      <c r="F98" s="27" t="s">
        <v>20</v>
      </c>
      <c r="G98" s="25">
        <v>44802.670185185183</v>
      </c>
    </row>
    <row r="99" spans="1:7" x14ac:dyDescent="0.25">
      <c r="A99" s="1">
        <v>44803</v>
      </c>
      <c r="B99">
        <v>16133828</v>
      </c>
      <c r="C99" s="27" t="s">
        <v>19</v>
      </c>
      <c r="D99" s="27" t="s">
        <v>158</v>
      </c>
      <c r="E99" s="27" t="s">
        <v>10</v>
      </c>
      <c r="F99" s="27" t="s">
        <v>20</v>
      </c>
      <c r="G99" s="25">
        <v>44802.675381944442</v>
      </c>
    </row>
    <row r="100" spans="1:7" x14ac:dyDescent="0.25">
      <c r="A100" s="1">
        <v>44803</v>
      </c>
      <c r="B100">
        <v>16135567</v>
      </c>
      <c r="C100" s="27" t="s">
        <v>23</v>
      </c>
      <c r="D100" s="27" t="s">
        <v>159</v>
      </c>
      <c r="E100" s="27" t="s">
        <v>10</v>
      </c>
      <c r="F100" s="27" t="s">
        <v>20</v>
      </c>
      <c r="G100" s="25">
        <v>44803.350844907407</v>
      </c>
    </row>
    <row r="101" spans="1:7" x14ac:dyDescent="0.25">
      <c r="A101" s="1">
        <v>44803</v>
      </c>
      <c r="B101">
        <v>16135596</v>
      </c>
      <c r="C101" s="27" t="s">
        <v>26</v>
      </c>
      <c r="D101" s="27" t="s">
        <v>70</v>
      </c>
      <c r="E101" s="27" t="s">
        <v>10</v>
      </c>
      <c r="F101" s="27" t="s">
        <v>20</v>
      </c>
      <c r="G101" s="25">
        <v>44803.351527777777</v>
      </c>
    </row>
    <row r="102" spans="1:7" x14ac:dyDescent="0.25">
      <c r="A102" s="1">
        <v>44803</v>
      </c>
      <c r="B102">
        <v>16135781</v>
      </c>
      <c r="C102" s="27" t="s">
        <v>23</v>
      </c>
      <c r="D102" s="27" t="s">
        <v>118</v>
      </c>
      <c r="E102" s="27" t="s">
        <v>17</v>
      </c>
      <c r="F102" s="27" t="s">
        <v>20</v>
      </c>
      <c r="G102" s="25">
        <v>44803.366006944445</v>
      </c>
    </row>
    <row r="103" spans="1:7" x14ac:dyDescent="0.25">
      <c r="A103" s="1">
        <v>44804</v>
      </c>
      <c r="B103">
        <v>16135926</v>
      </c>
      <c r="C103" s="27" t="s">
        <v>27</v>
      </c>
      <c r="D103" s="27" t="s">
        <v>160</v>
      </c>
      <c r="E103" s="27" t="s">
        <v>10</v>
      </c>
      <c r="F103" s="27" t="s">
        <v>20</v>
      </c>
      <c r="G103" s="25">
        <v>44803.377986111111</v>
      </c>
    </row>
    <row r="104" spans="1:7" x14ac:dyDescent="0.25">
      <c r="A104" s="1">
        <v>44803</v>
      </c>
      <c r="B104">
        <v>16136366</v>
      </c>
      <c r="C104" s="27" t="s">
        <v>26</v>
      </c>
      <c r="D104" s="27" t="s">
        <v>161</v>
      </c>
      <c r="E104" s="27" t="s">
        <v>17</v>
      </c>
      <c r="F104" s="27" t="s">
        <v>20</v>
      </c>
      <c r="G104" s="25">
        <v>44803.415706018517</v>
      </c>
    </row>
    <row r="105" spans="1:7" x14ac:dyDescent="0.25">
      <c r="A105" s="1">
        <v>44803</v>
      </c>
      <c r="B105">
        <v>16136366</v>
      </c>
      <c r="C105" s="27" t="s">
        <v>26</v>
      </c>
      <c r="D105" s="27" t="s">
        <v>162</v>
      </c>
      <c r="E105" s="27" t="s">
        <v>17</v>
      </c>
      <c r="F105" s="27" t="s">
        <v>20</v>
      </c>
      <c r="G105" s="25">
        <v>44803.416388888887</v>
      </c>
    </row>
    <row r="106" spans="1:7" x14ac:dyDescent="0.25">
      <c r="A106" s="1">
        <v>44803</v>
      </c>
      <c r="B106">
        <v>16136464</v>
      </c>
      <c r="C106" s="27" t="s">
        <v>19</v>
      </c>
      <c r="D106" s="27" t="s">
        <v>163</v>
      </c>
      <c r="E106" s="27" t="s">
        <v>18</v>
      </c>
      <c r="F106" s="27" t="s">
        <v>20</v>
      </c>
      <c r="G106" s="25">
        <v>44803.417557870373</v>
      </c>
    </row>
    <row r="107" spans="1:7" x14ac:dyDescent="0.25">
      <c r="A107" s="1">
        <v>44803</v>
      </c>
      <c r="B107">
        <v>16136578</v>
      </c>
      <c r="C107" s="27" t="s">
        <v>19</v>
      </c>
      <c r="D107" s="27" t="s">
        <v>164</v>
      </c>
      <c r="E107" s="27" t="s">
        <v>10</v>
      </c>
      <c r="F107" s="27" t="s">
        <v>20</v>
      </c>
      <c r="G107" s="25">
        <v>44803.426724537036</v>
      </c>
    </row>
    <row r="108" spans="1:7" x14ac:dyDescent="0.25">
      <c r="A108" s="1">
        <v>44803</v>
      </c>
      <c r="B108">
        <v>16137199</v>
      </c>
      <c r="C108" s="27" t="s">
        <v>23</v>
      </c>
      <c r="D108" s="27" t="s">
        <v>165</v>
      </c>
      <c r="E108" s="27" t="s">
        <v>10</v>
      </c>
      <c r="F108" s="27" t="s">
        <v>20</v>
      </c>
      <c r="G108" s="25">
        <v>44803.484953703701</v>
      </c>
    </row>
    <row r="109" spans="1:7" x14ac:dyDescent="0.25">
      <c r="A109" s="1">
        <v>44804</v>
      </c>
      <c r="B109">
        <v>16137283</v>
      </c>
      <c r="C109" s="27" t="s">
        <v>23</v>
      </c>
      <c r="D109" s="27" t="s">
        <v>166</v>
      </c>
      <c r="E109" s="27" t="s">
        <v>10</v>
      </c>
      <c r="F109" s="27" t="s">
        <v>20</v>
      </c>
      <c r="G109" s="25">
        <v>44803.498333333337</v>
      </c>
    </row>
    <row r="110" spans="1:7" x14ac:dyDescent="0.25">
      <c r="A110" s="1">
        <v>44804</v>
      </c>
      <c r="B110">
        <v>16137711</v>
      </c>
      <c r="C110" s="27" t="s">
        <v>22</v>
      </c>
      <c r="D110" s="27" t="s">
        <v>167</v>
      </c>
      <c r="E110" s="27" t="s">
        <v>10</v>
      </c>
      <c r="F110" s="27" t="s">
        <v>20</v>
      </c>
      <c r="G110" s="25">
        <v>44803.559444444443</v>
      </c>
    </row>
    <row r="111" spans="1:7" x14ac:dyDescent="0.25">
      <c r="A111" s="1">
        <v>44804</v>
      </c>
      <c r="B111">
        <v>16137726</v>
      </c>
      <c r="C111" s="27" t="s">
        <v>22</v>
      </c>
      <c r="D111" s="27" t="s">
        <v>168</v>
      </c>
      <c r="E111" s="27" t="s">
        <v>10</v>
      </c>
      <c r="F111" s="27" t="s">
        <v>20</v>
      </c>
      <c r="G111" s="25">
        <v>44803.560972222222</v>
      </c>
    </row>
    <row r="112" spans="1:7" x14ac:dyDescent="0.25">
      <c r="A112" s="1">
        <v>44804</v>
      </c>
      <c r="B112">
        <v>16137764</v>
      </c>
      <c r="C112" s="27" t="s">
        <v>22</v>
      </c>
      <c r="D112" s="27" t="s">
        <v>136</v>
      </c>
      <c r="E112" s="27" t="s">
        <v>10</v>
      </c>
      <c r="F112" s="27" t="s">
        <v>20</v>
      </c>
      <c r="G112" s="25">
        <v>44803.564803240741</v>
      </c>
    </row>
    <row r="113" spans="1:7" x14ac:dyDescent="0.25">
      <c r="A113" s="1">
        <v>44804</v>
      </c>
      <c r="B113">
        <v>16137786</v>
      </c>
      <c r="C113" s="27" t="s">
        <v>22</v>
      </c>
      <c r="D113" s="27" t="s">
        <v>81</v>
      </c>
      <c r="E113" s="27" t="s">
        <v>10</v>
      </c>
      <c r="F113" s="27" t="s">
        <v>20</v>
      </c>
      <c r="G113" s="25">
        <v>44803.567037037035</v>
      </c>
    </row>
    <row r="114" spans="1:7" x14ac:dyDescent="0.25">
      <c r="A114" s="1">
        <v>44804</v>
      </c>
      <c r="B114">
        <v>16137835</v>
      </c>
      <c r="C114" s="27" t="s">
        <v>25</v>
      </c>
      <c r="D114" s="27" t="s">
        <v>169</v>
      </c>
      <c r="E114" s="27" t="s">
        <v>17</v>
      </c>
      <c r="F114" s="27" t="s">
        <v>20</v>
      </c>
      <c r="G114" s="25">
        <v>44803.573564814818</v>
      </c>
    </row>
    <row r="115" spans="1:7" x14ac:dyDescent="0.25">
      <c r="A115" s="1">
        <v>44804</v>
      </c>
      <c r="B115">
        <v>16137850</v>
      </c>
      <c r="C115" s="27" t="s">
        <v>25</v>
      </c>
      <c r="D115" s="27" t="s">
        <v>133</v>
      </c>
      <c r="E115" s="27" t="s">
        <v>10</v>
      </c>
      <c r="F115" s="27" t="s">
        <v>20</v>
      </c>
      <c r="G115" s="25">
        <v>44803.574016203704</v>
      </c>
    </row>
    <row r="116" spans="1:7" x14ac:dyDescent="0.25">
      <c r="A116" s="1">
        <v>44804</v>
      </c>
      <c r="B116">
        <v>16137872</v>
      </c>
      <c r="C116" s="27" t="s">
        <v>22</v>
      </c>
      <c r="D116" s="27" t="s">
        <v>170</v>
      </c>
      <c r="E116" s="27" t="s">
        <v>21</v>
      </c>
      <c r="F116" s="27" t="s">
        <v>20</v>
      </c>
      <c r="G116" s="25">
        <v>44803.573298611111</v>
      </c>
    </row>
    <row r="117" spans="1:7" x14ac:dyDescent="0.25">
      <c r="A117" s="1">
        <v>44804</v>
      </c>
      <c r="B117">
        <v>16137877</v>
      </c>
      <c r="C117" s="27" t="s">
        <v>25</v>
      </c>
      <c r="D117" s="27" t="s">
        <v>53</v>
      </c>
      <c r="E117" s="27" t="s">
        <v>17</v>
      </c>
      <c r="F117" s="27" t="s">
        <v>20</v>
      </c>
      <c r="G117" s="25">
        <v>44803.574386574073</v>
      </c>
    </row>
    <row r="118" spans="1:7" x14ac:dyDescent="0.25">
      <c r="A118" s="1">
        <v>44804</v>
      </c>
      <c r="B118">
        <v>16138219</v>
      </c>
      <c r="C118" s="27" t="s">
        <v>23</v>
      </c>
      <c r="D118" s="27" t="s">
        <v>171</v>
      </c>
      <c r="E118" s="27" t="s">
        <v>10</v>
      </c>
      <c r="F118" s="27" t="s">
        <v>20</v>
      </c>
      <c r="G118" s="25">
        <v>44803.606608796297</v>
      </c>
    </row>
    <row r="119" spans="1:7" x14ac:dyDescent="0.25">
      <c r="A119" s="1">
        <v>44804</v>
      </c>
      <c r="B119">
        <v>16139070</v>
      </c>
      <c r="C119" s="27" t="s">
        <v>23</v>
      </c>
      <c r="D119" s="27" t="s">
        <v>172</v>
      </c>
      <c r="E119" s="27" t="s">
        <v>10</v>
      </c>
      <c r="F119" s="27" t="s">
        <v>20</v>
      </c>
      <c r="G119" s="25">
        <v>44803.690752314818</v>
      </c>
    </row>
    <row r="120" spans="1:7" x14ac:dyDescent="0.25">
      <c r="A120" s="1">
        <v>44805</v>
      </c>
      <c r="B120">
        <v>16132774</v>
      </c>
      <c r="C120" s="27" t="s">
        <v>19</v>
      </c>
      <c r="D120" s="27" t="s">
        <v>146</v>
      </c>
      <c r="E120" s="27" t="s">
        <v>10</v>
      </c>
      <c r="F120" s="27" t="s">
        <v>20</v>
      </c>
      <c r="G120" s="25">
        <v>44802.588587962964</v>
      </c>
    </row>
    <row r="121" spans="1:7" x14ac:dyDescent="0.25">
      <c r="A121" s="1">
        <v>44804</v>
      </c>
      <c r="B121">
        <v>16141268</v>
      </c>
      <c r="C121" s="27" t="s">
        <v>23</v>
      </c>
      <c r="D121" s="27" t="s">
        <v>174</v>
      </c>
      <c r="E121" s="27" t="s">
        <v>17</v>
      </c>
      <c r="F121" s="27" t="s">
        <v>20</v>
      </c>
      <c r="G121" s="25">
        <v>44804.38144675926</v>
      </c>
    </row>
    <row r="122" spans="1:7" x14ac:dyDescent="0.25">
      <c r="A122" s="1">
        <v>44804</v>
      </c>
      <c r="B122">
        <v>16141418</v>
      </c>
      <c r="C122" s="27" t="s">
        <v>23</v>
      </c>
      <c r="D122" s="27" t="s">
        <v>175</v>
      </c>
      <c r="E122" s="27" t="s">
        <v>10</v>
      </c>
      <c r="F122" s="27" t="s">
        <v>20</v>
      </c>
      <c r="G122" s="25">
        <v>44804.392025462963</v>
      </c>
    </row>
    <row r="123" spans="1:7" x14ac:dyDescent="0.25">
      <c r="A123" s="1">
        <v>44804</v>
      </c>
      <c r="B123">
        <v>16141631</v>
      </c>
      <c r="C123" s="27" t="s">
        <v>23</v>
      </c>
      <c r="D123" s="27" t="s">
        <v>176</v>
      </c>
      <c r="E123" s="27" t="s">
        <v>10</v>
      </c>
      <c r="F123" s="27" t="s">
        <v>20</v>
      </c>
      <c r="G123" s="25">
        <v>44804.407835648148</v>
      </c>
    </row>
    <row r="124" spans="1:7" x14ac:dyDescent="0.25">
      <c r="A124" s="1">
        <v>44804</v>
      </c>
      <c r="B124">
        <v>16142407</v>
      </c>
      <c r="C124" s="27" t="s">
        <v>23</v>
      </c>
      <c r="D124" s="27" t="s">
        <v>177</v>
      </c>
      <c r="E124" s="27" t="s">
        <v>10</v>
      </c>
      <c r="F124" s="27" t="s">
        <v>20</v>
      </c>
      <c r="G124" s="25">
        <v>44804.508333333331</v>
      </c>
    </row>
    <row r="125" spans="1:7" x14ac:dyDescent="0.25">
      <c r="A125" s="1">
        <v>44805</v>
      </c>
      <c r="B125">
        <v>16132862</v>
      </c>
      <c r="C125" s="27" t="s">
        <v>19</v>
      </c>
      <c r="D125" s="27" t="s">
        <v>147</v>
      </c>
      <c r="E125" s="27" t="s">
        <v>10</v>
      </c>
      <c r="F125" s="27" t="s">
        <v>20</v>
      </c>
      <c r="G125" s="25">
        <v>44802.591296296298</v>
      </c>
    </row>
    <row r="126" spans="1:7" x14ac:dyDescent="0.25">
      <c r="A126" s="1">
        <v>44805</v>
      </c>
      <c r="B126">
        <v>16141073</v>
      </c>
      <c r="C126" s="27" t="s">
        <v>27</v>
      </c>
      <c r="D126" s="27" t="s">
        <v>173</v>
      </c>
      <c r="E126" s="27" t="s">
        <v>10</v>
      </c>
      <c r="F126" s="27" t="s">
        <v>20</v>
      </c>
      <c r="G126" s="25">
        <v>44804.369016203702</v>
      </c>
    </row>
    <row r="127" spans="1:7" x14ac:dyDescent="0.25">
      <c r="A127" s="1">
        <v>44805</v>
      </c>
      <c r="B127">
        <v>16142702</v>
      </c>
      <c r="C127" s="27" t="s">
        <v>25</v>
      </c>
      <c r="D127" s="27" t="s">
        <v>179</v>
      </c>
      <c r="E127" s="27" t="s">
        <v>17</v>
      </c>
      <c r="F127" s="27" t="s">
        <v>20</v>
      </c>
      <c r="G127" s="25">
        <v>44804.569652777776</v>
      </c>
    </row>
    <row r="128" spans="1:7" x14ac:dyDescent="0.25">
      <c r="A128" s="1">
        <v>44805</v>
      </c>
      <c r="B128">
        <v>16142770</v>
      </c>
      <c r="C128" s="27" t="s">
        <v>25</v>
      </c>
      <c r="D128" s="27" t="s">
        <v>181</v>
      </c>
      <c r="E128" s="27" t="s">
        <v>17</v>
      </c>
      <c r="F128" s="27" t="s">
        <v>20</v>
      </c>
      <c r="G128" s="25">
        <v>44804.570509259262</v>
      </c>
    </row>
    <row r="129" spans="1:7" x14ac:dyDescent="0.25">
      <c r="A129" s="1">
        <v>44805</v>
      </c>
      <c r="B129">
        <v>16142816</v>
      </c>
      <c r="C129" s="27" t="s">
        <v>22</v>
      </c>
      <c r="D129" s="27" t="s">
        <v>178</v>
      </c>
      <c r="E129" s="27" t="s">
        <v>10</v>
      </c>
      <c r="F129" s="27" t="s">
        <v>20</v>
      </c>
      <c r="G129" s="25">
        <v>44804.567962962959</v>
      </c>
    </row>
    <row r="130" spans="1:7" x14ac:dyDescent="0.25">
      <c r="A130" s="1">
        <v>44805</v>
      </c>
      <c r="B130">
        <v>16142843</v>
      </c>
      <c r="C130" s="27" t="s">
        <v>22</v>
      </c>
      <c r="D130" s="27" t="s">
        <v>180</v>
      </c>
      <c r="E130" s="27" t="s">
        <v>10</v>
      </c>
      <c r="F130" s="27" t="s">
        <v>20</v>
      </c>
      <c r="G130" s="25">
        <v>44804.570138888892</v>
      </c>
    </row>
    <row r="131" spans="1:7" x14ac:dyDescent="0.25">
      <c r="A131" s="1">
        <v>44805</v>
      </c>
      <c r="B131">
        <v>16142866</v>
      </c>
      <c r="C131" s="27" t="s">
        <v>22</v>
      </c>
      <c r="D131" s="27" t="s">
        <v>182</v>
      </c>
      <c r="E131" s="27" t="s">
        <v>10</v>
      </c>
      <c r="F131" s="27" t="s">
        <v>20</v>
      </c>
      <c r="G131" s="25">
        <v>44804.573287037034</v>
      </c>
    </row>
    <row r="132" spans="1:7" x14ac:dyDescent="0.25">
      <c r="A132" s="1">
        <v>44804</v>
      </c>
      <c r="B132">
        <v>16142933</v>
      </c>
      <c r="C132" s="27" t="s">
        <v>23</v>
      </c>
      <c r="D132" s="27" t="s">
        <v>185</v>
      </c>
      <c r="E132" s="27" t="s">
        <v>10</v>
      </c>
      <c r="F132" s="27" t="s">
        <v>20</v>
      </c>
      <c r="G132" s="25">
        <v>44804.577731481484</v>
      </c>
    </row>
    <row r="133" spans="1:7" x14ac:dyDescent="0.25">
      <c r="A133" s="1">
        <v>44805</v>
      </c>
      <c r="B133">
        <v>16142893</v>
      </c>
      <c r="C133" s="27" t="s">
        <v>22</v>
      </c>
      <c r="D133" s="27" t="s">
        <v>184</v>
      </c>
      <c r="E133" s="27" t="s">
        <v>10</v>
      </c>
      <c r="F133" s="27" t="s">
        <v>20</v>
      </c>
      <c r="G133" s="25">
        <v>44804.577187499999</v>
      </c>
    </row>
    <row r="134" spans="1:7" x14ac:dyDescent="0.25">
      <c r="A134" s="1">
        <v>44805</v>
      </c>
      <c r="B134">
        <v>16143147</v>
      </c>
      <c r="C134" s="27" t="s">
        <v>19</v>
      </c>
      <c r="D134" s="27" t="s">
        <v>186</v>
      </c>
      <c r="E134" s="27" t="s">
        <v>10</v>
      </c>
      <c r="F134" s="27" t="s">
        <v>20</v>
      </c>
      <c r="G134" s="25">
        <v>44804.592974537038</v>
      </c>
    </row>
    <row r="135" spans="1:7" x14ac:dyDescent="0.25">
      <c r="A135" s="1">
        <v>44805</v>
      </c>
      <c r="B135">
        <v>16143634</v>
      </c>
      <c r="C135" s="27" t="s">
        <v>23</v>
      </c>
      <c r="D135" s="27" t="s">
        <v>187</v>
      </c>
      <c r="E135" s="27" t="s">
        <v>10</v>
      </c>
      <c r="F135" s="27" t="s">
        <v>20</v>
      </c>
      <c r="G135" s="25">
        <v>44804.636944444443</v>
      </c>
    </row>
    <row r="136" spans="1:7" x14ac:dyDescent="0.25">
      <c r="A136" s="1">
        <v>44805</v>
      </c>
      <c r="B136">
        <v>16144208</v>
      </c>
      <c r="C136" s="27" t="s">
        <v>22</v>
      </c>
      <c r="D136" s="27" t="s">
        <v>188</v>
      </c>
      <c r="E136" s="27" t="s">
        <v>10</v>
      </c>
      <c r="F136" s="27" t="s">
        <v>20</v>
      </c>
      <c r="G136" s="25">
        <v>44804.689988425926</v>
      </c>
    </row>
    <row r="137" spans="1:7" x14ac:dyDescent="0.25">
      <c r="A137" s="1">
        <v>44806</v>
      </c>
      <c r="B137">
        <v>16145604</v>
      </c>
      <c r="C137" s="27" t="s">
        <v>19</v>
      </c>
      <c r="D137" s="27" t="s">
        <v>189</v>
      </c>
      <c r="E137" s="27" t="s">
        <v>10</v>
      </c>
      <c r="F137" s="27" t="s">
        <v>20</v>
      </c>
      <c r="G137" s="25">
        <v>44805.331805555557</v>
      </c>
    </row>
    <row r="138" spans="1:7" x14ac:dyDescent="0.25">
      <c r="A138" s="1">
        <v>44805</v>
      </c>
      <c r="B138">
        <v>16145937</v>
      </c>
      <c r="C138" s="27" t="s">
        <v>25</v>
      </c>
      <c r="D138" s="27" t="s">
        <v>53</v>
      </c>
      <c r="E138" s="27" t="s">
        <v>17</v>
      </c>
      <c r="F138" s="27" t="s">
        <v>20</v>
      </c>
      <c r="G138" s="25">
        <v>44805.350983796299</v>
      </c>
    </row>
    <row r="139" spans="1:7" x14ac:dyDescent="0.25">
      <c r="A139" s="1">
        <v>44805</v>
      </c>
      <c r="B139">
        <v>16146167</v>
      </c>
      <c r="C139" s="27" t="s">
        <v>19</v>
      </c>
      <c r="D139" s="27" t="s">
        <v>190</v>
      </c>
      <c r="E139" s="27" t="s">
        <v>17</v>
      </c>
      <c r="F139" s="27" t="s">
        <v>20</v>
      </c>
      <c r="G139" s="25">
        <v>44805.36613425926</v>
      </c>
    </row>
    <row r="140" spans="1:7" x14ac:dyDescent="0.25">
      <c r="A140" s="1">
        <v>44805</v>
      </c>
      <c r="B140">
        <v>16146206</v>
      </c>
      <c r="C140" s="27" t="s">
        <v>23</v>
      </c>
      <c r="D140" s="27" t="s">
        <v>191</v>
      </c>
      <c r="E140" s="27" t="s">
        <v>17</v>
      </c>
      <c r="F140" s="27" t="s">
        <v>20</v>
      </c>
      <c r="G140" s="25">
        <v>44805.368148148147</v>
      </c>
    </row>
    <row r="141" spans="1:7" x14ac:dyDescent="0.25">
      <c r="A141" s="1">
        <v>44806</v>
      </c>
      <c r="B141">
        <v>16146290</v>
      </c>
      <c r="C141" s="27" t="s">
        <v>19</v>
      </c>
      <c r="D141" s="27" t="s">
        <v>192</v>
      </c>
      <c r="E141" s="27" t="s">
        <v>10</v>
      </c>
      <c r="F141" s="27" t="s">
        <v>20</v>
      </c>
      <c r="G141" s="25">
        <v>44805.374606481484</v>
      </c>
    </row>
    <row r="142" spans="1:7" x14ac:dyDescent="0.25">
      <c r="A142" s="1">
        <v>44806</v>
      </c>
      <c r="B142">
        <v>16146324</v>
      </c>
      <c r="C142" s="27" t="s">
        <v>27</v>
      </c>
      <c r="D142" s="27" t="s">
        <v>193</v>
      </c>
      <c r="E142" s="27" t="s">
        <v>17</v>
      </c>
      <c r="F142" s="27" t="s">
        <v>20</v>
      </c>
      <c r="G142" s="25">
        <v>44805.376307870371</v>
      </c>
    </row>
    <row r="143" spans="1:7" x14ac:dyDescent="0.25">
      <c r="A143" s="1">
        <v>44805</v>
      </c>
      <c r="B143">
        <v>16146959</v>
      </c>
      <c r="C143" s="27" t="s">
        <v>23</v>
      </c>
      <c r="D143" s="27" t="s">
        <v>194</v>
      </c>
      <c r="E143" s="27" t="s">
        <v>10</v>
      </c>
      <c r="F143" s="27" t="s">
        <v>20</v>
      </c>
      <c r="G143" s="25">
        <v>44805.483124999999</v>
      </c>
    </row>
    <row r="144" spans="1:7" x14ac:dyDescent="0.25">
      <c r="A144" s="1">
        <v>44806</v>
      </c>
      <c r="B144">
        <v>16147569</v>
      </c>
      <c r="C144" s="27" t="s">
        <v>22</v>
      </c>
      <c r="D144" s="27" t="s">
        <v>195</v>
      </c>
      <c r="E144" s="27" t="s">
        <v>10</v>
      </c>
      <c r="F144" s="27" t="s">
        <v>20</v>
      </c>
      <c r="G144" s="25">
        <v>44805.561886574076</v>
      </c>
    </row>
    <row r="145" spans="1:7" x14ac:dyDescent="0.25">
      <c r="A145" s="1">
        <v>44806</v>
      </c>
      <c r="B145">
        <v>16147621</v>
      </c>
      <c r="C145" s="27" t="s">
        <v>22</v>
      </c>
      <c r="D145" s="27" t="s">
        <v>196</v>
      </c>
      <c r="E145" s="27" t="s">
        <v>10</v>
      </c>
      <c r="F145" s="27" t="s">
        <v>20</v>
      </c>
      <c r="G145" s="25">
        <v>44805.567847222221</v>
      </c>
    </row>
    <row r="146" spans="1:7" x14ac:dyDescent="0.25">
      <c r="A146" s="1">
        <v>44806</v>
      </c>
      <c r="B146">
        <v>16147629</v>
      </c>
      <c r="C146" s="27" t="s">
        <v>25</v>
      </c>
      <c r="D146" s="27" t="s">
        <v>181</v>
      </c>
      <c r="E146" s="27" t="s">
        <v>18</v>
      </c>
      <c r="F146" s="27" t="s">
        <v>20</v>
      </c>
      <c r="G146" s="25">
        <v>44805.571585648147</v>
      </c>
    </row>
    <row r="147" spans="1:7" x14ac:dyDescent="0.25">
      <c r="A147" s="1">
        <v>44806</v>
      </c>
      <c r="B147">
        <v>16147670</v>
      </c>
      <c r="C147" s="27" t="s">
        <v>25</v>
      </c>
      <c r="D147" s="27" t="s">
        <v>53</v>
      </c>
      <c r="E147" s="27" t="s">
        <v>10</v>
      </c>
      <c r="F147" s="27" t="s">
        <v>20</v>
      </c>
      <c r="G147" s="25">
        <v>44805.571979166663</v>
      </c>
    </row>
    <row r="148" spans="1:7" x14ac:dyDescent="0.25">
      <c r="A148" s="1">
        <v>44806</v>
      </c>
      <c r="B148">
        <v>16147685</v>
      </c>
      <c r="C148" s="27" t="s">
        <v>26</v>
      </c>
      <c r="D148" s="27" t="s">
        <v>197</v>
      </c>
      <c r="E148" s="27" t="s">
        <v>18</v>
      </c>
      <c r="F148" s="27" t="s">
        <v>20</v>
      </c>
      <c r="G148" s="25">
        <v>44805.573171296295</v>
      </c>
    </row>
    <row r="149" spans="1:7" x14ac:dyDescent="0.25">
      <c r="A149" s="1">
        <v>44806</v>
      </c>
      <c r="B149">
        <v>16147685</v>
      </c>
      <c r="C149" s="27" t="s">
        <v>26</v>
      </c>
      <c r="D149" s="27" t="s">
        <v>197</v>
      </c>
      <c r="E149" s="27" t="s">
        <v>18</v>
      </c>
      <c r="F149" s="27" t="s">
        <v>20</v>
      </c>
      <c r="G149" s="25">
        <v>44805.573518518519</v>
      </c>
    </row>
    <row r="150" spans="1:7" x14ac:dyDescent="0.25">
      <c r="A150" s="1">
        <v>44806</v>
      </c>
      <c r="B150">
        <v>16147685</v>
      </c>
      <c r="C150" s="27" t="s">
        <v>26</v>
      </c>
      <c r="D150" s="27" t="s">
        <v>203</v>
      </c>
      <c r="E150" s="27" t="s">
        <v>10</v>
      </c>
      <c r="F150" s="27" t="s">
        <v>20</v>
      </c>
      <c r="G150" s="25">
        <v>44805.63208333333</v>
      </c>
    </row>
    <row r="151" spans="1:7" x14ac:dyDescent="0.25">
      <c r="A151" s="1">
        <v>44805</v>
      </c>
      <c r="B151">
        <v>16147697</v>
      </c>
      <c r="C151" s="27" t="s">
        <v>23</v>
      </c>
      <c r="D151" s="27" t="s">
        <v>198</v>
      </c>
      <c r="E151" s="27" t="s">
        <v>10</v>
      </c>
      <c r="F151" s="27" t="s">
        <v>20</v>
      </c>
      <c r="G151" s="25">
        <v>44805.573321759257</v>
      </c>
    </row>
    <row r="152" spans="1:7" x14ac:dyDescent="0.25">
      <c r="A152" s="1">
        <v>44806</v>
      </c>
      <c r="B152">
        <v>16147771</v>
      </c>
      <c r="C152" s="27" t="s">
        <v>25</v>
      </c>
      <c r="D152" s="27" t="s">
        <v>199</v>
      </c>
      <c r="E152" s="27" t="s">
        <v>10</v>
      </c>
      <c r="F152" s="27" t="s">
        <v>20</v>
      </c>
      <c r="G152" s="25">
        <v>44805.578657407408</v>
      </c>
    </row>
    <row r="153" spans="1:7" x14ac:dyDescent="0.25">
      <c r="A153" s="1">
        <v>44806</v>
      </c>
      <c r="B153">
        <v>16147809</v>
      </c>
      <c r="C153" s="27" t="s">
        <v>26</v>
      </c>
      <c r="D153" s="27" t="s">
        <v>201</v>
      </c>
      <c r="E153" s="27" t="s">
        <v>10</v>
      </c>
      <c r="F153" s="27" t="s">
        <v>20</v>
      </c>
      <c r="G153" s="25">
        <v>44805.581805555557</v>
      </c>
    </row>
    <row r="154" spans="1:7" x14ac:dyDescent="0.25">
      <c r="A154" s="1">
        <v>44806</v>
      </c>
      <c r="B154">
        <v>16147809</v>
      </c>
      <c r="C154" s="27" t="s">
        <v>26</v>
      </c>
      <c r="D154" s="27" t="s">
        <v>201</v>
      </c>
      <c r="E154" s="27" t="s">
        <v>10</v>
      </c>
      <c r="F154" s="27" t="s">
        <v>20</v>
      </c>
      <c r="G154" s="25">
        <v>44805.582303240742</v>
      </c>
    </row>
    <row r="155" spans="1:7" x14ac:dyDescent="0.25">
      <c r="A155" s="1">
        <v>44805</v>
      </c>
      <c r="B155">
        <v>16147820</v>
      </c>
      <c r="C155" s="27" t="s">
        <v>23</v>
      </c>
      <c r="D155" s="27" t="s">
        <v>200</v>
      </c>
      <c r="E155" s="27" t="s">
        <v>10</v>
      </c>
      <c r="F155" s="27" t="s">
        <v>20</v>
      </c>
      <c r="G155" s="25">
        <v>44805.581712962965</v>
      </c>
    </row>
    <row r="156" spans="1:7" x14ac:dyDescent="0.25">
      <c r="A156" s="1">
        <v>44806</v>
      </c>
      <c r="B156">
        <v>16148108</v>
      </c>
      <c r="C156" s="27" t="s">
        <v>23</v>
      </c>
      <c r="D156" s="27" t="s">
        <v>202</v>
      </c>
      <c r="E156" s="27" t="s">
        <v>10</v>
      </c>
      <c r="F156" s="27" t="s">
        <v>20</v>
      </c>
      <c r="G156" s="25">
        <v>44805.601412037038</v>
      </c>
    </row>
    <row r="157" spans="1:7" x14ac:dyDescent="0.25">
      <c r="A157" s="1">
        <v>44806</v>
      </c>
      <c r="B157">
        <v>16148135</v>
      </c>
      <c r="C157" s="27" t="s">
        <v>19</v>
      </c>
      <c r="D157" s="27" t="s">
        <v>186</v>
      </c>
      <c r="E157" s="27" t="s">
        <v>10</v>
      </c>
      <c r="F157" s="27" t="s">
        <v>20</v>
      </c>
      <c r="G157" s="25">
        <v>44805.602696759262</v>
      </c>
    </row>
    <row r="158" spans="1:7" x14ac:dyDescent="0.25">
      <c r="A158" s="1">
        <v>44806</v>
      </c>
      <c r="B158">
        <v>16149071</v>
      </c>
      <c r="C158" s="27" t="s">
        <v>22</v>
      </c>
      <c r="D158" s="27" t="s">
        <v>487</v>
      </c>
      <c r="E158" s="27" t="s">
        <v>10</v>
      </c>
      <c r="F158" s="27" t="s">
        <v>20</v>
      </c>
      <c r="G158" s="25">
        <v>44805.686215277776</v>
      </c>
    </row>
    <row r="159" spans="1:7" x14ac:dyDescent="0.25">
      <c r="A159" s="1">
        <v>44806</v>
      </c>
      <c r="B159">
        <v>16151295</v>
      </c>
      <c r="C159" s="27" t="s">
        <v>25</v>
      </c>
      <c r="D159" s="27" t="s">
        <v>181</v>
      </c>
      <c r="E159" s="27" t="s">
        <v>10</v>
      </c>
      <c r="F159" s="27" t="s">
        <v>20</v>
      </c>
      <c r="G159" s="25">
        <v>44806.379236111112</v>
      </c>
    </row>
    <row r="160" spans="1:7" x14ac:dyDescent="0.25">
      <c r="A160" s="1">
        <v>44809</v>
      </c>
      <c r="B160">
        <v>16151399</v>
      </c>
      <c r="C160" s="27" t="s">
        <v>22</v>
      </c>
      <c r="D160" s="27" t="s">
        <v>121</v>
      </c>
      <c r="E160" s="27" t="s">
        <v>10</v>
      </c>
      <c r="F160" s="27" t="s">
        <v>20</v>
      </c>
      <c r="G160" s="25">
        <v>44806.393055555556</v>
      </c>
    </row>
    <row r="161" spans="1:7" x14ac:dyDescent="0.25">
      <c r="A161" s="1">
        <v>44809</v>
      </c>
      <c r="B161">
        <v>16151434</v>
      </c>
      <c r="C161" s="27" t="s">
        <v>22</v>
      </c>
      <c r="D161" s="27" t="s">
        <v>488</v>
      </c>
      <c r="E161" s="27" t="s">
        <v>17</v>
      </c>
      <c r="F161" s="27" t="s">
        <v>20</v>
      </c>
      <c r="G161" s="25">
        <v>44806.393576388888</v>
      </c>
    </row>
    <row r="162" spans="1:7" x14ac:dyDescent="0.25">
      <c r="A162" s="1">
        <v>44810</v>
      </c>
      <c r="B162">
        <v>16151478</v>
      </c>
      <c r="C162" s="27" t="s">
        <v>22</v>
      </c>
      <c r="D162" s="27" t="s">
        <v>490</v>
      </c>
      <c r="E162" s="27" t="s">
        <v>10</v>
      </c>
      <c r="F162" s="27" t="s">
        <v>20</v>
      </c>
      <c r="G162" s="25">
        <v>44806.394490740742</v>
      </c>
    </row>
    <row r="163" spans="1:7" x14ac:dyDescent="0.25">
      <c r="A163" s="1">
        <v>44810</v>
      </c>
      <c r="B163">
        <v>16151496</v>
      </c>
      <c r="C163" s="27" t="s">
        <v>22</v>
      </c>
      <c r="D163" s="27" t="s">
        <v>489</v>
      </c>
      <c r="E163" s="27" t="s">
        <v>10</v>
      </c>
      <c r="F163" s="27" t="s">
        <v>20</v>
      </c>
      <c r="G163" s="25">
        <v>44806.394074074073</v>
      </c>
    </row>
    <row r="164" spans="1:7" x14ac:dyDescent="0.25">
      <c r="A164" s="1">
        <v>44806</v>
      </c>
      <c r="B164">
        <v>16152158</v>
      </c>
      <c r="C164" s="27" t="s">
        <v>19</v>
      </c>
      <c r="D164" s="27" t="s">
        <v>492</v>
      </c>
      <c r="E164" s="27" t="s">
        <v>10</v>
      </c>
      <c r="F164" s="27" t="s">
        <v>20</v>
      </c>
      <c r="G164" s="25">
        <v>44806.451493055552</v>
      </c>
    </row>
    <row r="165" spans="1:7" x14ac:dyDescent="0.25">
      <c r="A165" s="1">
        <v>44806</v>
      </c>
      <c r="B165">
        <v>16152158</v>
      </c>
      <c r="C165" s="27" t="s">
        <v>19</v>
      </c>
      <c r="D165" s="27" t="s">
        <v>497</v>
      </c>
      <c r="E165" s="27" t="s">
        <v>10</v>
      </c>
      <c r="F165" s="27" t="s">
        <v>20</v>
      </c>
      <c r="G165" s="25">
        <v>44806.557962962965</v>
      </c>
    </row>
    <row r="166" spans="1:7" x14ac:dyDescent="0.25">
      <c r="A166" s="1">
        <v>44809</v>
      </c>
      <c r="B166">
        <v>16152280</v>
      </c>
      <c r="C166" s="27" t="s">
        <v>19</v>
      </c>
      <c r="D166" s="27" t="s">
        <v>93</v>
      </c>
      <c r="E166" s="27" t="s">
        <v>10</v>
      </c>
      <c r="F166" s="27" t="s">
        <v>20</v>
      </c>
      <c r="G166" s="25">
        <v>44806.557523148149</v>
      </c>
    </row>
    <row r="167" spans="1:7" x14ac:dyDescent="0.25">
      <c r="A167" s="1">
        <v>44806</v>
      </c>
      <c r="B167">
        <v>16152625</v>
      </c>
      <c r="C167" s="27" t="s">
        <v>23</v>
      </c>
      <c r="D167" s="27" t="s">
        <v>493</v>
      </c>
      <c r="E167" s="27" t="s">
        <v>10</v>
      </c>
      <c r="F167" s="27" t="s">
        <v>20</v>
      </c>
      <c r="G167" s="25">
        <v>44806.503067129626</v>
      </c>
    </row>
    <row r="168" spans="1:7" x14ac:dyDescent="0.25">
      <c r="A168" s="1">
        <v>44809</v>
      </c>
      <c r="B168">
        <v>16152690</v>
      </c>
      <c r="C168" s="27" t="s">
        <v>25</v>
      </c>
      <c r="D168" s="27" t="s">
        <v>181</v>
      </c>
      <c r="E168" s="27" t="s">
        <v>10</v>
      </c>
      <c r="F168" s="27" t="s">
        <v>20</v>
      </c>
      <c r="G168" s="25">
        <v>44806.513298611113</v>
      </c>
    </row>
    <row r="169" spans="1:7" x14ac:dyDescent="0.25">
      <c r="A169" s="1">
        <v>44809</v>
      </c>
      <c r="B169">
        <v>16152705</v>
      </c>
      <c r="C169" s="27" t="s">
        <v>25</v>
      </c>
      <c r="D169" s="27" t="s">
        <v>494</v>
      </c>
      <c r="E169" s="27" t="s">
        <v>10</v>
      </c>
      <c r="F169" s="27" t="s">
        <v>20</v>
      </c>
      <c r="G169" s="25">
        <v>44806.514050925929</v>
      </c>
    </row>
    <row r="170" spans="1:7" x14ac:dyDescent="0.25">
      <c r="A170" s="1">
        <v>44809</v>
      </c>
      <c r="B170">
        <v>16152811</v>
      </c>
      <c r="C170" s="27" t="s">
        <v>22</v>
      </c>
      <c r="D170" s="27" t="s">
        <v>495</v>
      </c>
      <c r="E170" s="27" t="s">
        <v>10</v>
      </c>
      <c r="F170" s="27" t="s">
        <v>20</v>
      </c>
      <c r="G170" s="25">
        <v>44806.530439814815</v>
      </c>
    </row>
    <row r="171" spans="1:7" x14ac:dyDescent="0.25">
      <c r="A171" s="1">
        <v>44809</v>
      </c>
      <c r="B171">
        <v>16152857</v>
      </c>
      <c r="C171" s="27" t="s">
        <v>19</v>
      </c>
      <c r="D171" s="27" t="s">
        <v>499</v>
      </c>
      <c r="E171" s="27" t="s">
        <v>10</v>
      </c>
      <c r="F171" s="27" t="s">
        <v>20</v>
      </c>
      <c r="G171" s="25">
        <v>44806.569884259261</v>
      </c>
    </row>
    <row r="172" spans="1:7" x14ac:dyDescent="0.25">
      <c r="A172" s="1">
        <v>44809</v>
      </c>
      <c r="B172">
        <v>16152886</v>
      </c>
      <c r="C172" s="27" t="s">
        <v>19</v>
      </c>
      <c r="D172" s="27" t="s">
        <v>500</v>
      </c>
      <c r="E172" s="27" t="s">
        <v>10</v>
      </c>
      <c r="F172" s="27" t="s">
        <v>20</v>
      </c>
      <c r="G172" s="25">
        <v>44806.570428240739</v>
      </c>
    </row>
    <row r="173" spans="1:7" x14ac:dyDescent="0.25">
      <c r="A173" s="1">
        <v>44809</v>
      </c>
      <c r="B173">
        <v>16152890</v>
      </c>
      <c r="C173" s="27" t="s">
        <v>22</v>
      </c>
      <c r="D173" s="27" t="s">
        <v>496</v>
      </c>
      <c r="E173" s="27" t="s">
        <v>17</v>
      </c>
      <c r="F173" s="27" t="s">
        <v>20</v>
      </c>
      <c r="G173" s="25">
        <v>44806.539826388886</v>
      </c>
    </row>
    <row r="174" spans="1:7" x14ac:dyDescent="0.25">
      <c r="A174" s="1">
        <v>44809</v>
      </c>
      <c r="B174">
        <v>16152976</v>
      </c>
      <c r="C174" s="27" t="s">
        <v>19</v>
      </c>
      <c r="D174" s="27" t="s">
        <v>501</v>
      </c>
      <c r="E174" s="27"/>
      <c r="F174" s="27" t="s">
        <v>20</v>
      </c>
      <c r="G174" s="25">
        <v>44806.57744212963</v>
      </c>
    </row>
    <row r="175" spans="1:7" x14ac:dyDescent="0.25">
      <c r="A175" s="1">
        <v>44809</v>
      </c>
      <c r="B175">
        <v>16153173</v>
      </c>
      <c r="C175" s="27" t="s">
        <v>19</v>
      </c>
      <c r="D175" s="27" t="s">
        <v>498</v>
      </c>
      <c r="E175" s="27" t="s">
        <v>10</v>
      </c>
      <c r="F175" s="27" t="s">
        <v>20</v>
      </c>
      <c r="G175" s="25">
        <v>44806.56417824074</v>
      </c>
    </row>
    <row r="176" spans="1:7" x14ac:dyDescent="0.25">
      <c r="A176" s="1">
        <v>44809</v>
      </c>
      <c r="B176">
        <v>16153349</v>
      </c>
      <c r="C176" s="27" t="s">
        <v>27</v>
      </c>
      <c r="D176" s="27" t="s">
        <v>193</v>
      </c>
      <c r="E176" s="27" t="s">
        <v>16</v>
      </c>
      <c r="F176" s="27" t="s">
        <v>20</v>
      </c>
      <c r="G176" s="25">
        <v>44806.572557870371</v>
      </c>
    </row>
    <row r="177" spans="1:7" x14ac:dyDescent="0.25">
      <c r="A177" s="1">
        <v>44810</v>
      </c>
      <c r="B177">
        <v>16153507</v>
      </c>
      <c r="C177" s="27" t="s">
        <v>22</v>
      </c>
      <c r="D177" s="27" t="s">
        <v>502</v>
      </c>
      <c r="E177" s="27" t="s">
        <v>10</v>
      </c>
      <c r="F177" s="27" t="s">
        <v>20</v>
      </c>
      <c r="G177" s="25">
        <v>44806.581747685188</v>
      </c>
    </row>
    <row r="178" spans="1:7" x14ac:dyDescent="0.25">
      <c r="A178" s="1">
        <v>44809</v>
      </c>
      <c r="B178">
        <v>16153542</v>
      </c>
      <c r="C178" s="27" t="s">
        <v>22</v>
      </c>
      <c r="D178" s="27" t="s">
        <v>503</v>
      </c>
      <c r="E178" s="27" t="s">
        <v>10</v>
      </c>
      <c r="F178" s="27" t="s">
        <v>20</v>
      </c>
      <c r="G178" s="25">
        <v>44806.583182870374</v>
      </c>
    </row>
    <row r="179" spans="1:7" x14ac:dyDescent="0.25">
      <c r="A179" s="1">
        <v>44809</v>
      </c>
      <c r="B179">
        <v>16153777</v>
      </c>
      <c r="C179" s="27" t="s">
        <v>22</v>
      </c>
      <c r="D179" s="27" t="s">
        <v>504</v>
      </c>
      <c r="E179" s="27" t="s">
        <v>17</v>
      </c>
      <c r="F179" s="27" t="s">
        <v>20</v>
      </c>
      <c r="G179" s="25">
        <v>44806.597326388888</v>
      </c>
    </row>
    <row r="180" spans="1:7" x14ac:dyDescent="0.25">
      <c r="A180" s="1">
        <v>44809</v>
      </c>
      <c r="B180">
        <v>16153959</v>
      </c>
      <c r="C180" s="27" t="s">
        <v>22</v>
      </c>
      <c r="D180" s="27" t="s">
        <v>505</v>
      </c>
      <c r="E180" s="27" t="s">
        <v>16</v>
      </c>
      <c r="F180" s="27" t="s">
        <v>20</v>
      </c>
      <c r="G180" s="25">
        <v>44806.606458333335</v>
      </c>
    </row>
    <row r="181" spans="1:7" x14ac:dyDescent="0.25">
      <c r="A181" s="1">
        <v>44809</v>
      </c>
      <c r="B181">
        <v>16154289</v>
      </c>
      <c r="C181" s="27" t="s">
        <v>19</v>
      </c>
      <c r="D181" s="27" t="s">
        <v>506</v>
      </c>
      <c r="E181" s="27" t="s">
        <v>10</v>
      </c>
      <c r="F181" s="27" t="s">
        <v>20</v>
      </c>
      <c r="G181" s="25">
        <v>44806.623113425929</v>
      </c>
    </row>
    <row r="182" spans="1:7" x14ac:dyDescent="0.25">
      <c r="A182" s="1">
        <v>44809</v>
      </c>
      <c r="B182">
        <v>16154365</v>
      </c>
      <c r="C182" s="27" t="s">
        <v>19</v>
      </c>
      <c r="D182" s="27" t="s">
        <v>600</v>
      </c>
      <c r="E182" s="27" t="s">
        <v>10</v>
      </c>
      <c r="F182" s="27" t="s">
        <v>20</v>
      </c>
      <c r="G182" s="25">
        <v>44806.627442129633</v>
      </c>
    </row>
    <row r="183" spans="1:7" x14ac:dyDescent="0.25">
      <c r="A183" s="1">
        <v>44807</v>
      </c>
      <c r="B183">
        <v>16154574</v>
      </c>
      <c r="C183" s="27" t="s">
        <v>22</v>
      </c>
      <c r="D183" s="27" t="s">
        <v>601</v>
      </c>
      <c r="E183" s="27" t="s">
        <v>16</v>
      </c>
      <c r="F183" s="27" t="s">
        <v>20</v>
      </c>
      <c r="G183" s="25">
        <v>44806.638090277775</v>
      </c>
    </row>
    <row r="184" spans="1:7" x14ac:dyDescent="0.25">
      <c r="A184" s="1">
        <v>44809</v>
      </c>
      <c r="B184">
        <v>16156613</v>
      </c>
      <c r="C184" s="27" t="s">
        <v>23</v>
      </c>
      <c r="D184" s="27" t="s">
        <v>615</v>
      </c>
      <c r="E184" s="27" t="s">
        <v>10</v>
      </c>
      <c r="F184" s="27" t="s">
        <v>20</v>
      </c>
      <c r="G184" s="25">
        <v>44807.434074074074</v>
      </c>
    </row>
    <row r="185" spans="1:7" x14ac:dyDescent="0.25">
      <c r="A185" s="1">
        <v>44809</v>
      </c>
      <c r="B185">
        <v>16156680</v>
      </c>
      <c r="C185" s="27" t="s">
        <v>23</v>
      </c>
      <c r="D185" s="27" t="s">
        <v>616</v>
      </c>
      <c r="E185" s="27"/>
      <c r="F185" s="27" t="s">
        <v>20</v>
      </c>
      <c r="G185" s="25">
        <v>44807.464259259257</v>
      </c>
    </row>
    <row r="186" spans="1:7" x14ac:dyDescent="0.25">
      <c r="A186" s="1">
        <v>44809</v>
      </c>
      <c r="B186">
        <v>16156685</v>
      </c>
      <c r="C186" s="27" t="s">
        <v>23</v>
      </c>
      <c r="D186" s="27" t="s">
        <v>174</v>
      </c>
      <c r="E186" s="27" t="s">
        <v>10</v>
      </c>
      <c r="F186" s="27" t="s">
        <v>20</v>
      </c>
      <c r="G186" s="25">
        <v>44807.466168981482</v>
      </c>
    </row>
    <row r="187" spans="1:7" x14ac:dyDescent="0.25">
      <c r="A187" s="1">
        <v>44809</v>
      </c>
      <c r="B187">
        <v>16156692</v>
      </c>
      <c r="C187" s="27" t="s">
        <v>23</v>
      </c>
      <c r="D187" s="27" t="s">
        <v>617</v>
      </c>
      <c r="E187" s="27" t="s">
        <v>10</v>
      </c>
      <c r="F187" s="27" t="s">
        <v>20</v>
      </c>
      <c r="G187" s="25">
        <v>44807.47047453704</v>
      </c>
    </row>
    <row r="188" spans="1:7" x14ac:dyDescent="0.25">
      <c r="A188" s="1">
        <v>44809</v>
      </c>
      <c r="B188">
        <v>16159342</v>
      </c>
      <c r="C188" s="27" t="s">
        <v>23</v>
      </c>
      <c r="D188" s="27" t="s">
        <v>618</v>
      </c>
      <c r="E188" s="27" t="s">
        <v>10</v>
      </c>
      <c r="F188" s="27" t="s">
        <v>20</v>
      </c>
      <c r="G188" s="25">
        <v>44809.378946759258</v>
      </c>
    </row>
    <row r="189" spans="1:7" x14ac:dyDescent="0.25">
      <c r="A189" s="1">
        <v>44810</v>
      </c>
      <c r="B189">
        <v>16159399</v>
      </c>
      <c r="C189" s="27" t="s">
        <v>27</v>
      </c>
      <c r="D189" s="27" t="s">
        <v>193</v>
      </c>
      <c r="E189" s="27" t="s">
        <v>10</v>
      </c>
      <c r="F189" s="27" t="s">
        <v>20</v>
      </c>
      <c r="G189" s="25">
        <v>44809.382025462961</v>
      </c>
    </row>
    <row r="190" spans="1:7" x14ac:dyDescent="0.25">
      <c r="A190" s="1">
        <v>44809</v>
      </c>
      <c r="B190">
        <v>16159447</v>
      </c>
      <c r="C190" s="27" t="s">
        <v>23</v>
      </c>
      <c r="D190" s="27" t="s">
        <v>619</v>
      </c>
      <c r="E190" s="27" t="s">
        <v>10</v>
      </c>
      <c r="F190" s="27" t="s">
        <v>20</v>
      </c>
      <c r="G190" s="25">
        <v>44809.385185185187</v>
      </c>
    </row>
    <row r="191" spans="1:7" x14ac:dyDescent="0.25">
      <c r="A191" s="1">
        <v>44810</v>
      </c>
      <c r="B191">
        <v>16161047</v>
      </c>
      <c r="C191" s="27" t="s">
        <v>19</v>
      </c>
      <c r="D191" s="27" t="s">
        <v>620</v>
      </c>
      <c r="E191" s="27"/>
      <c r="F191" s="27" t="s">
        <v>20</v>
      </c>
      <c r="G191" s="25">
        <v>44809.567442129628</v>
      </c>
    </row>
    <row r="192" spans="1:7" x14ac:dyDescent="0.25">
      <c r="A192" s="1">
        <v>44810</v>
      </c>
      <c r="B192">
        <v>16161012</v>
      </c>
      <c r="C192" s="27" t="s">
        <v>25</v>
      </c>
      <c r="D192" s="27" t="s">
        <v>181</v>
      </c>
      <c r="E192" s="27"/>
      <c r="F192" s="27" t="s">
        <v>20</v>
      </c>
      <c r="G192" s="25">
        <v>44809.572395833333</v>
      </c>
    </row>
    <row r="193" spans="1:7" x14ac:dyDescent="0.25">
      <c r="A193" s="1">
        <v>44810</v>
      </c>
      <c r="B193">
        <v>16161061</v>
      </c>
      <c r="C193" s="27" t="s">
        <v>25</v>
      </c>
      <c r="D193" s="27" t="s">
        <v>621</v>
      </c>
      <c r="E193" s="27"/>
      <c r="F193" s="27" t="s">
        <v>20</v>
      </c>
      <c r="G193" s="25">
        <v>44809.572708333333</v>
      </c>
    </row>
    <row r="194" spans="1:7" x14ac:dyDescent="0.25">
      <c r="A194" s="1">
        <v>44810</v>
      </c>
      <c r="B194">
        <v>16161024</v>
      </c>
      <c r="C194" s="27" t="s">
        <v>25</v>
      </c>
      <c r="D194" s="27" t="s">
        <v>622</v>
      </c>
      <c r="E194" s="27"/>
      <c r="F194" s="27" t="s">
        <v>20</v>
      </c>
      <c r="G194" s="25">
        <v>44809.573379629626</v>
      </c>
    </row>
    <row r="195" spans="1:7" x14ac:dyDescent="0.25">
      <c r="A195" s="1">
        <v>44810</v>
      </c>
      <c r="B195">
        <v>16161215</v>
      </c>
      <c r="C195" s="27" t="s">
        <v>22</v>
      </c>
      <c r="D195" s="27" t="s">
        <v>623</v>
      </c>
      <c r="E195" s="27" t="s">
        <v>10</v>
      </c>
      <c r="F195" s="27" t="s">
        <v>20</v>
      </c>
      <c r="G195" s="25">
        <v>44809.576469907406</v>
      </c>
    </row>
    <row r="196" spans="1:7" x14ac:dyDescent="0.25">
      <c r="A196" s="1">
        <v>44810</v>
      </c>
      <c r="B196">
        <v>16161271</v>
      </c>
      <c r="C196" s="27" t="s">
        <v>22</v>
      </c>
      <c r="D196" s="27" t="s">
        <v>624</v>
      </c>
      <c r="E196" s="27"/>
      <c r="F196" s="27" t="s">
        <v>20</v>
      </c>
      <c r="G196" s="25">
        <v>44809.579733796294</v>
      </c>
    </row>
    <row r="197" spans="1:7" x14ac:dyDescent="0.25">
      <c r="A197" s="1">
        <v>44809</v>
      </c>
      <c r="B197">
        <v>16161305</v>
      </c>
      <c r="C197" s="27" t="s">
        <v>19</v>
      </c>
      <c r="D197" s="27" t="s">
        <v>625</v>
      </c>
      <c r="E197" s="27" t="s">
        <v>10</v>
      </c>
      <c r="F197" s="27" t="s">
        <v>20</v>
      </c>
      <c r="G197" s="25">
        <v>44809.583912037036</v>
      </c>
    </row>
    <row r="198" spans="1:7" x14ac:dyDescent="0.25">
      <c r="A198" s="1">
        <v>44812</v>
      </c>
      <c r="B198">
        <v>16161324</v>
      </c>
      <c r="C198" s="27" t="s">
        <v>22</v>
      </c>
      <c r="D198" s="27" t="s">
        <v>626</v>
      </c>
      <c r="E198" s="27" t="s">
        <v>18</v>
      </c>
      <c r="F198" s="27" t="s">
        <v>20</v>
      </c>
      <c r="G198" s="25">
        <v>44809.584999999999</v>
      </c>
    </row>
    <row r="199" spans="1:7" x14ac:dyDescent="0.25">
      <c r="A199" s="1">
        <v>44810</v>
      </c>
      <c r="B199">
        <v>16161355</v>
      </c>
      <c r="C199" s="27" t="s">
        <v>19</v>
      </c>
      <c r="D199" s="27" t="s">
        <v>627</v>
      </c>
      <c r="E199" s="27" t="s">
        <v>10</v>
      </c>
      <c r="F199" s="27" t="s">
        <v>20</v>
      </c>
      <c r="G199" s="25">
        <v>44809.587696759256</v>
      </c>
    </row>
    <row r="200" spans="1:7" x14ac:dyDescent="0.25">
      <c r="A200" s="1">
        <v>44810</v>
      </c>
      <c r="B200">
        <v>16161421</v>
      </c>
      <c r="C200" s="27" t="s">
        <v>19</v>
      </c>
      <c r="D200" s="27" t="s">
        <v>628</v>
      </c>
      <c r="E200" s="27"/>
      <c r="F200" s="27" t="s">
        <v>20</v>
      </c>
      <c r="G200" s="25">
        <v>44809.592662037037</v>
      </c>
    </row>
    <row r="201" spans="1:7" x14ac:dyDescent="0.25">
      <c r="A201" s="1">
        <v>44810</v>
      </c>
      <c r="B201">
        <v>16161437</v>
      </c>
      <c r="C201" s="27" t="s">
        <v>22</v>
      </c>
      <c r="D201" s="27" t="s">
        <v>629</v>
      </c>
      <c r="E201" s="27" t="s">
        <v>10</v>
      </c>
      <c r="F201" s="27" t="s">
        <v>20</v>
      </c>
      <c r="G201" s="25">
        <v>44809.594247685185</v>
      </c>
    </row>
    <row r="202" spans="1:7" x14ac:dyDescent="0.25">
      <c r="A202" s="1">
        <v>44810</v>
      </c>
      <c r="B202">
        <v>16161459</v>
      </c>
      <c r="C202" s="27" t="s">
        <v>23</v>
      </c>
      <c r="D202" s="27" t="s">
        <v>630</v>
      </c>
      <c r="E202" s="27"/>
      <c r="F202" s="27" t="s">
        <v>20</v>
      </c>
      <c r="G202" s="25">
        <v>44809.595543981479</v>
      </c>
    </row>
    <row r="203" spans="1:7" x14ac:dyDescent="0.25">
      <c r="A203" s="1">
        <v>44809</v>
      </c>
      <c r="B203">
        <v>16161536</v>
      </c>
      <c r="C203" s="27" t="s">
        <v>25</v>
      </c>
      <c r="D203" s="27" t="s">
        <v>631</v>
      </c>
      <c r="E203" s="27" t="s">
        <v>10</v>
      </c>
      <c r="F203" s="27" t="s">
        <v>20</v>
      </c>
      <c r="G203" s="25">
        <v>44809.602372685185</v>
      </c>
    </row>
    <row r="204" spans="1:7" x14ac:dyDescent="0.25">
      <c r="A204" s="1">
        <v>44810</v>
      </c>
      <c r="B204">
        <v>16161673</v>
      </c>
      <c r="C204" s="27" t="s">
        <v>23</v>
      </c>
      <c r="D204" s="27" t="s">
        <v>632</v>
      </c>
      <c r="E204" s="27" t="s">
        <v>10</v>
      </c>
      <c r="F204" s="27" t="s">
        <v>20</v>
      </c>
      <c r="G204" s="25">
        <v>44809.613634259258</v>
      </c>
    </row>
    <row r="205" spans="1:7" x14ac:dyDescent="0.25">
      <c r="A205" s="1">
        <v>44810</v>
      </c>
      <c r="B205">
        <v>16161753</v>
      </c>
      <c r="C205" s="27" t="s">
        <v>19</v>
      </c>
      <c r="D205" s="27" t="s">
        <v>633</v>
      </c>
      <c r="E205" s="27"/>
      <c r="F205" s="27" t="s">
        <v>20</v>
      </c>
      <c r="G205" s="25">
        <v>44809.623171296298</v>
      </c>
    </row>
    <row r="206" spans="1:7" x14ac:dyDescent="0.25">
      <c r="A206" s="1">
        <v>44810</v>
      </c>
      <c r="B206">
        <v>16161804</v>
      </c>
      <c r="C206" s="27" t="s">
        <v>19</v>
      </c>
      <c r="D206" s="27" t="s">
        <v>634</v>
      </c>
      <c r="E206" s="27"/>
      <c r="F206" s="27" t="s">
        <v>20</v>
      </c>
      <c r="G206" s="25">
        <v>44809.626898148148</v>
      </c>
    </row>
    <row r="207" spans="1:7" x14ac:dyDescent="0.25">
      <c r="A207" s="1">
        <v>44810</v>
      </c>
      <c r="B207">
        <v>16161934</v>
      </c>
      <c r="C207" s="27" t="s">
        <v>19</v>
      </c>
      <c r="D207" s="27" t="s">
        <v>635</v>
      </c>
      <c r="E207" s="27"/>
      <c r="F207" s="27" t="s">
        <v>20</v>
      </c>
      <c r="G207" s="25">
        <v>44809.637013888889</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FFAF4-5EF9-43DF-AB26-B1B98961EDED}">
  <sheetPr codeName="Planilha2"/>
  <dimension ref="A1:G165"/>
  <sheetViews>
    <sheetView topLeftCell="B1" workbookViewId="0">
      <selection sqref="A1:G225"/>
    </sheetView>
  </sheetViews>
  <sheetFormatPr defaultRowHeight="15" x14ac:dyDescent="0.25"/>
  <cols>
    <col min="1" max="1" width="20.5703125" bestFit="1" customWidth="1"/>
    <col min="2" max="2" width="22.140625" bestFit="1" customWidth="1"/>
    <col min="3" max="3" width="9" bestFit="1" customWidth="1"/>
    <col min="4" max="4" width="18" bestFit="1" customWidth="1"/>
    <col min="5" max="5" width="81.140625" bestFit="1" customWidth="1"/>
    <col min="6" max="6" width="24.28515625" bestFit="1" customWidth="1"/>
    <col min="7" max="7" width="8.85546875" bestFit="1" customWidth="1"/>
    <col min="8" max="8" width="8.85546875" customWidth="1"/>
    <col min="9" max="9" width="20.5703125" bestFit="1" customWidth="1"/>
    <col min="10" max="10" width="8.85546875" bestFit="1" customWidth="1"/>
  </cols>
  <sheetData>
    <row r="1" spans="1:7" x14ac:dyDescent="0.25">
      <c r="A1" t="s">
        <v>6</v>
      </c>
      <c r="B1" t="s">
        <v>0</v>
      </c>
      <c r="C1" t="s">
        <v>1</v>
      </c>
      <c r="D1" t="s">
        <v>2</v>
      </c>
      <c r="E1" t="s">
        <v>3</v>
      </c>
      <c r="F1" t="s">
        <v>4</v>
      </c>
      <c r="G1" t="s">
        <v>5</v>
      </c>
    </row>
    <row r="2" spans="1:7" x14ac:dyDescent="0.25">
      <c r="A2" s="25">
        <v>44798.377847222226</v>
      </c>
      <c r="B2" s="1">
        <v>44801</v>
      </c>
      <c r="C2" s="27">
        <v>16117856</v>
      </c>
      <c r="D2" s="27" t="s">
        <v>7</v>
      </c>
      <c r="E2" s="27" t="s">
        <v>371</v>
      </c>
      <c r="F2" s="27" t="s">
        <v>24</v>
      </c>
      <c r="G2" s="27" t="s">
        <v>29</v>
      </c>
    </row>
    <row r="3" spans="1:7" x14ac:dyDescent="0.25">
      <c r="A3" s="25">
        <v>44802.365115740744</v>
      </c>
      <c r="B3" s="1">
        <v>44802</v>
      </c>
      <c r="C3" s="27">
        <v>16130602</v>
      </c>
      <c r="D3" s="27" t="s">
        <v>11</v>
      </c>
      <c r="E3" s="27" t="s">
        <v>372</v>
      </c>
      <c r="F3" s="27" t="s">
        <v>28</v>
      </c>
      <c r="G3" s="27" t="s">
        <v>29</v>
      </c>
    </row>
    <row r="4" spans="1:7" x14ac:dyDescent="0.25">
      <c r="A4" s="25">
        <v>44802.385671296295</v>
      </c>
      <c r="B4" s="1">
        <v>44802</v>
      </c>
      <c r="C4" s="27">
        <v>16130864</v>
      </c>
      <c r="D4" s="27" t="s">
        <v>11</v>
      </c>
      <c r="E4" s="27" t="s">
        <v>374</v>
      </c>
      <c r="F4" s="27" t="s">
        <v>28</v>
      </c>
      <c r="G4" s="27" t="s">
        <v>29</v>
      </c>
    </row>
    <row r="5" spans="1:7" x14ac:dyDescent="0.25">
      <c r="A5" s="25">
        <v>44802.392199074071</v>
      </c>
      <c r="B5" s="1">
        <v>44802</v>
      </c>
      <c r="C5" s="27">
        <v>16130963</v>
      </c>
      <c r="D5" s="27" t="s">
        <v>14</v>
      </c>
      <c r="E5" s="27" t="s">
        <v>373</v>
      </c>
      <c r="F5" s="27" t="s">
        <v>24</v>
      </c>
      <c r="G5" s="27" t="s">
        <v>29</v>
      </c>
    </row>
    <row r="6" spans="1:7" x14ac:dyDescent="0.25">
      <c r="A6" s="25">
        <v>44799.62804398148</v>
      </c>
      <c r="B6" s="1">
        <v>44802</v>
      </c>
      <c r="C6" s="27">
        <v>16125823</v>
      </c>
      <c r="D6" s="27" t="s">
        <v>7</v>
      </c>
      <c r="E6" s="27" t="s">
        <v>375</v>
      </c>
      <c r="F6" s="27" t="s">
        <v>24</v>
      </c>
      <c r="G6" s="27" t="s">
        <v>29</v>
      </c>
    </row>
    <row r="7" spans="1:7" x14ac:dyDescent="0.25">
      <c r="A7" s="25">
        <v>44799.654479166667</v>
      </c>
      <c r="B7" s="1">
        <v>44802</v>
      </c>
      <c r="C7" s="27">
        <v>16126310</v>
      </c>
      <c r="D7" s="27" t="s">
        <v>14</v>
      </c>
      <c r="E7" s="27" t="s">
        <v>376</v>
      </c>
      <c r="F7" s="27" t="s">
        <v>28</v>
      </c>
      <c r="G7" s="27" t="s">
        <v>29</v>
      </c>
    </row>
    <row r="8" spans="1:7" x14ac:dyDescent="0.25">
      <c r="A8" s="25">
        <v>44802.36383101852</v>
      </c>
      <c r="B8" s="1">
        <v>44802</v>
      </c>
      <c r="C8" s="27">
        <v>16130579</v>
      </c>
      <c r="D8" s="27" t="s">
        <v>11</v>
      </c>
      <c r="E8" s="27" t="s">
        <v>377</v>
      </c>
      <c r="F8" s="27" t="s">
        <v>24</v>
      </c>
      <c r="G8" s="27" t="s">
        <v>29</v>
      </c>
    </row>
    <row r="9" spans="1:7" x14ac:dyDescent="0.25">
      <c r="A9" s="25">
        <v>44802.544745370367</v>
      </c>
      <c r="B9" s="1">
        <v>44802</v>
      </c>
      <c r="C9" s="27">
        <v>16132426</v>
      </c>
      <c r="D9" s="27" t="s">
        <v>7</v>
      </c>
      <c r="E9" s="27" t="s">
        <v>378</v>
      </c>
      <c r="F9" s="27" t="s">
        <v>28</v>
      </c>
      <c r="G9" s="27" t="s">
        <v>29</v>
      </c>
    </row>
    <row r="10" spans="1:7" x14ac:dyDescent="0.25">
      <c r="A10" s="25">
        <v>44802.546643518515</v>
      </c>
      <c r="B10" s="1">
        <v>44802</v>
      </c>
      <c r="C10" s="27">
        <v>16132278</v>
      </c>
      <c r="D10" s="27" t="s">
        <v>7</v>
      </c>
      <c r="E10" s="27" t="s">
        <v>379</v>
      </c>
      <c r="F10" s="27" t="s">
        <v>28</v>
      </c>
      <c r="G10" s="27" t="s">
        <v>29</v>
      </c>
    </row>
    <row r="11" spans="1:7" x14ac:dyDescent="0.25">
      <c r="A11" s="25">
        <v>44802.549247685187</v>
      </c>
      <c r="B11" s="1">
        <v>44802</v>
      </c>
      <c r="C11" s="27">
        <v>16132304</v>
      </c>
      <c r="D11" s="27" t="s">
        <v>7</v>
      </c>
      <c r="E11" s="27" t="s">
        <v>380</v>
      </c>
      <c r="F11" s="27" t="s">
        <v>28</v>
      </c>
      <c r="G11" s="27" t="s">
        <v>29</v>
      </c>
    </row>
    <row r="12" spans="1:7" x14ac:dyDescent="0.25">
      <c r="A12" s="25">
        <v>44802.474027777775</v>
      </c>
      <c r="B12" s="1">
        <v>44802</v>
      </c>
      <c r="C12" s="27">
        <v>16122719</v>
      </c>
      <c r="D12" s="27" t="s">
        <v>11</v>
      </c>
      <c r="E12" s="27" t="s">
        <v>63</v>
      </c>
      <c r="F12" s="27" t="s">
        <v>28</v>
      </c>
      <c r="G12" s="27" t="s">
        <v>29</v>
      </c>
    </row>
    <row r="13" spans="1:7" x14ac:dyDescent="0.25">
      <c r="A13" s="25">
        <v>44802.539618055554</v>
      </c>
      <c r="B13" s="1">
        <v>44802</v>
      </c>
      <c r="C13" s="27">
        <v>16132219</v>
      </c>
      <c r="D13" s="27" t="s">
        <v>7</v>
      </c>
      <c r="E13" s="27" t="s">
        <v>381</v>
      </c>
      <c r="F13" s="27" t="s">
        <v>28</v>
      </c>
      <c r="G13" s="27" t="s">
        <v>29</v>
      </c>
    </row>
    <row r="14" spans="1:7" x14ac:dyDescent="0.25">
      <c r="A14" s="25">
        <v>44802.54215277778</v>
      </c>
      <c r="B14" s="1">
        <v>44802</v>
      </c>
      <c r="C14" s="27">
        <v>16132243</v>
      </c>
      <c r="D14" s="27" t="s">
        <v>7</v>
      </c>
      <c r="E14" s="27" t="s">
        <v>382</v>
      </c>
      <c r="F14" s="27" t="s">
        <v>28</v>
      </c>
      <c r="G14" s="27" t="s">
        <v>29</v>
      </c>
    </row>
    <row r="15" spans="1:7" x14ac:dyDescent="0.25">
      <c r="A15" s="25">
        <v>44799.623645833337</v>
      </c>
      <c r="B15" s="1">
        <v>44802</v>
      </c>
      <c r="C15" s="27">
        <v>16125733</v>
      </c>
      <c r="D15" s="27" t="s">
        <v>14</v>
      </c>
      <c r="E15" s="27" t="s">
        <v>383</v>
      </c>
      <c r="F15" s="27" t="s">
        <v>28</v>
      </c>
      <c r="G15" s="27" t="s">
        <v>29</v>
      </c>
    </row>
    <row r="16" spans="1:7" x14ac:dyDescent="0.25">
      <c r="A16" s="25">
        <v>44797.665879629632</v>
      </c>
      <c r="B16" s="1">
        <v>44802</v>
      </c>
      <c r="C16" s="27">
        <v>16114871</v>
      </c>
      <c r="D16" s="27" t="s">
        <v>46</v>
      </c>
      <c r="E16" s="27" t="s">
        <v>369</v>
      </c>
      <c r="F16" s="27" t="s">
        <v>28</v>
      </c>
      <c r="G16" s="27" t="s">
        <v>29</v>
      </c>
    </row>
    <row r="17" spans="1:7" x14ac:dyDescent="0.25">
      <c r="A17" s="25">
        <v>44799.333877314813</v>
      </c>
      <c r="B17" s="1">
        <v>44802</v>
      </c>
      <c r="C17" s="27">
        <v>16122348</v>
      </c>
      <c r="D17" s="27" t="s">
        <v>11</v>
      </c>
      <c r="E17" s="27" t="s">
        <v>65</v>
      </c>
      <c r="F17" s="27" t="s">
        <v>24</v>
      </c>
      <c r="G17" s="27" t="s">
        <v>29</v>
      </c>
    </row>
    <row r="18" spans="1:7" x14ac:dyDescent="0.25">
      <c r="A18" s="25">
        <v>44799.602326388886</v>
      </c>
      <c r="B18" s="1">
        <v>44802</v>
      </c>
      <c r="C18" s="27">
        <v>16125371</v>
      </c>
      <c r="D18" s="27" t="s">
        <v>15</v>
      </c>
      <c r="E18" s="27" t="s">
        <v>48</v>
      </c>
      <c r="F18" s="27" t="s">
        <v>28</v>
      </c>
      <c r="G18" s="27" t="s">
        <v>29</v>
      </c>
    </row>
    <row r="19" spans="1:7" x14ac:dyDescent="0.25">
      <c r="A19" s="25">
        <v>44796.573958333334</v>
      </c>
      <c r="B19" s="1">
        <v>44802</v>
      </c>
      <c r="C19" s="27">
        <v>16109356</v>
      </c>
      <c r="D19" s="27" t="s">
        <v>11</v>
      </c>
      <c r="E19" s="27" t="s">
        <v>66</v>
      </c>
      <c r="F19" s="27" t="s">
        <v>28</v>
      </c>
      <c r="G19" s="27" t="s">
        <v>29</v>
      </c>
    </row>
    <row r="20" spans="1:7" x14ac:dyDescent="0.25">
      <c r="A20" s="25">
        <v>44797.356261574074</v>
      </c>
      <c r="B20" s="1">
        <v>44802</v>
      </c>
      <c r="C20" s="27">
        <v>16112378</v>
      </c>
      <c r="D20" s="27" t="s">
        <v>11</v>
      </c>
      <c r="E20" s="27" t="s">
        <v>65</v>
      </c>
      <c r="F20" s="27" t="s">
        <v>28</v>
      </c>
      <c r="G20" s="27" t="s">
        <v>29</v>
      </c>
    </row>
    <row r="21" spans="1:7" x14ac:dyDescent="0.25">
      <c r="A21" s="25">
        <v>44796.671458333331</v>
      </c>
      <c r="B21" s="1">
        <v>44802</v>
      </c>
      <c r="C21" s="27">
        <v>16108043</v>
      </c>
      <c r="D21" s="27" t="s">
        <v>46</v>
      </c>
      <c r="E21" s="27" t="s">
        <v>47</v>
      </c>
      <c r="F21" s="27" t="s">
        <v>28</v>
      </c>
      <c r="G21" s="27" t="s">
        <v>29</v>
      </c>
    </row>
    <row r="22" spans="1:7" x14ac:dyDescent="0.25">
      <c r="A22" s="25">
        <v>44799.609143518515</v>
      </c>
      <c r="B22" s="1">
        <v>44802</v>
      </c>
      <c r="C22" s="27">
        <v>16125478</v>
      </c>
      <c r="D22" s="27" t="s">
        <v>11</v>
      </c>
      <c r="E22" s="27" t="s">
        <v>384</v>
      </c>
      <c r="F22" s="27" t="s">
        <v>28</v>
      </c>
      <c r="G22" s="27" t="s">
        <v>29</v>
      </c>
    </row>
    <row r="23" spans="1:7" x14ac:dyDescent="0.25">
      <c r="A23" s="25">
        <v>44799.614710648151</v>
      </c>
      <c r="B23" s="1">
        <v>44802</v>
      </c>
      <c r="C23" s="27">
        <v>16125201</v>
      </c>
      <c r="D23" s="27" t="s">
        <v>14</v>
      </c>
      <c r="E23" s="27" t="s">
        <v>385</v>
      </c>
      <c r="F23" s="27" t="s">
        <v>28</v>
      </c>
      <c r="G23" s="27" t="s">
        <v>29</v>
      </c>
    </row>
    <row r="24" spans="1:7" x14ac:dyDescent="0.25">
      <c r="A24" s="25">
        <v>44799.623217592591</v>
      </c>
      <c r="B24" s="1">
        <v>44802</v>
      </c>
      <c r="C24" s="27">
        <v>16125743</v>
      </c>
      <c r="D24" s="27" t="s">
        <v>11</v>
      </c>
      <c r="E24" s="27" t="s">
        <v>386</v>
      </c>
      <c r="F24" s="27" t="s">
        <v>24</v>
      </c>
      <c r="G24" s="27" t="s">
        <v>29</v>
      </c>
    </row>
    <row r="25" spans="1:7" x14ac:dyDescent="0.25">
      <c r="A25" s="25">
        <v>44799.60359953704</v>
      </c>
      <c r="B25" s="1">
        <v>44802</v>
      </c>
      <c r="C25" s="27">
        <v>16125391</v>
      </c>
      <c r="D25" s="27" t="s">
        <v>15</v>
      </c>
      <c r="E25" s="27" t="s">
        <v>387</v>
      </c>
      <c r="F25" s="27" t="s">
        <v>28</v>
      </c>
      <c r="G25" s="27" t="s">
        <v>29</v>
      </c>
    </row>
    <row r="26" spans="1:7" x14ac:dyDescent="0.25">
      <c r="A26" s="25">
        <v>44799.604780092595</v>
      </c>
      <c r="B26" s="1">
        <v>44802</v>
      </c>
      <c r="C26" s="27">
        <v>16125409</v>
      </c>
      <c r="D26" s="27" t="s">
        <v>11</v>
      </c>
      <c r="E26" s="27" t="s">
        <v>388</v>
      </c>
      <c r="F26" s="27" t="s">
        <v>24</v>
      </c>
      <c r="G26" s="27" t="s">
        <v>29</v>
      </c>
    </row>
    <row r="27" spans="1:7" x14ac:dyDescent="0.25">
      <c r="A27" s="25">
        <v>44799.604907407411</v>
      </c>
      <c r="B27" s="1">
        <v>44802</v>
      </c>
      <c r="C27" s="27">
        <v>16125412</v>
      </c>
      <c r="D27" s="27" t="s">
        <v>15</v>
      </c>
      <c r="E27" s="27" t="s">
        <v>389</v>
      </c>
      <c r="F27" s="27" t="s">
        <v>28</v>
      </c>
      <c r="G27" s="27" t="s">
        <v>29</v>
      </c>
    </row>
    <row r="28" spans="1:7" x14ac:dyDescent="0.25">
      <c r="A28" s="25">
        <v>44802.584456018521</v>
      </c>
      <c r="B28" s="1">
        <v>44803</v>
      </c>
      <c r="C28" s="27">
        <v>16132766</v>
      </c>
      <c r="D28" s="27" t="s">
        <v>15</v>
      </c>
      <c r="E28" s="27" t="s">
        <v>390</v>
      </c>
      <c r="F28" s="27" t="s">
        <v>28</v>
      </c>
      <c r="G28" s="27" t="s">
        <v>29</v>
      </c>
    </row>
    <row r="29" spans="1:7" x14ac:dyDescent="0.25">
      <c r="A29" s="25">
        <v>44802.629733796297</v>
      </c>
      <c r="B29" s="1">
        <v>44803</v>
      </c>
      <c r="C29" s="27">
        <v>16133299</v>
      </c>
      <c r="D29" s="27" t="s">
        <v>15</v>
      </c>
      <c r="E29" s="27" t="s">
        <v>391</v>
      </c>
      <c r="F29" s="27" t="s">
        <v>24</v>
      </c>
      <c r="G29" s="27" t="s">
        <v>29</v>
      </c>
    </row>
    <row r="30" spans="1:7" x14ac:dyDescent="0.25">
      <c r="A30" s="25">
        <v>44802.640162037038</v>
      </c>
      <c r="B30" s="1">
        <v>44803</v>
      </c>
      <c r="C30" s="27">
        <v>16133382</v>
      </c>
      <c r="D30" s="27" t="s">
        <v>11</v>
      </c>
      <c r="E30" s="27" t="s">
        <v>392</v>
      </c>
      <c r="F30" s="27" t="s">
        <v>28</v>
      </c>
      <c r="G30" s="27" t="s">
        <v>29</v>
      </c>
    </row>
    <row r="31" spans="1:7" x14ac:dyDescent="0.25">
      <c r="A31" s="25">
        <v>44802.609502314815</v>
      </c>
      <c r="B31" s="1">
        <v>44803</v>
      </c>
      <c r="C31" s="27">
        <v>16133090</v>
      </c>
      <c r="D31" s="27" t="s">
        <v>15</v>
      </c>
      <c r="E31" s="27" t="s">
        <v>393</v>
      </c>
      <c r="F31" s="27" t="s">
        <v>24</v>
      </c>
      <c r="G31" s="27" t="s">
        <v>29</v>
      </c>
    </row>
    <row r="32" spans="1:7" x14ac:dyDescent="0.25">
      <c r="A32" s="25">
        <v>44802.640023148146</v>
      </c>
      <c r="B32" s="1">
        <v>44803</v>
      </c>
      <c r="C32" s="27">
        <v>16132548</v>
      </c>
      <c r="D32" s="27" t="s">
        <v>12</v>
      </c>
      <c r="E32" s="27" t="s">
        <v>394</v>
      </c>
      <c r="F32" s="27" t="s">
        <v>28</v>
      </c>
      <c r="G32" s="27" t="s">
        <v>29</v>
      </c>
    </row>
    <row r="33" spans="1:7" x14ac:dyDescent="0.25">
      <c r="A33" s="25">
        <v>44803.213287037041</v>
      </c>
      <c r="B33" s="1">
        <v>44803</v>
      </c>
      <c r="C33" s="27">
        <v>16134860</v>
      </c>
      <c r="D33" s="27" t="s">
        <v>15</v>
      </c>
      <c r="E33" s="27" t="s">
        <v>395</v>
      </c>
      <c r="F33" s="27" t="s">
        <v>28</v>
      </c>
      <c r="G33" s="27" t="s">
        <v>29</v>
      </c>
    </row>
    <row r="34" spans="1:7" x14ac:dyDescent="0.25">
      <c r="A34" s="25">
        <v>44803.356608796297</v>
      </c>
      <c r="B34" s="1">
        <v>44803</v>
      </c>
      <c r="C34" s="27">
        <v>16135658</v>
      </c>
      <c r="D34" s="27" t="s">
        <v>14</v>
      </c>
      <c r="E34" s="27" t="s">
        <v>376</v>
      </c>
      <c r="F34" s="27" t="s">
        <v>28</v>
      </c>
      <c r="G34" s="27" t="s">
        <v>29</v>
      </c>
    </row>
    <row r="35" spans="1:7" x14ac:dyDescent="0.25">
      <c r="A35" s="25">
        <v>44803.457152777781</v>
      </c>
      <c r="B35" s="1">
        <v>44803</v>
      </c>
      <c r="C35" s="27">
        <v>16132589</v>
      </c>
      <c r="D35" s="27" t="s">
        <v>12</v>
      </c>
      <c r="E35" s="27" t="s">
        <v>396</v>
      </c>
      <c r="F35" s="27" t="s">
        <v>28</v>
      </c>
      <c r="G35" s="27" t="s">
        <v>29</v>
      </c>
    </row>
    <row r="36" spans="1:7" x14ac:dyDescent="0.25">
      <c r="A36" s="25">
        <v>44803.354513888888</v>
      </c>
      <c r="B36" s="1">
        <v>44803</v>
      </c>
      <c r="C36" s="27">
        <v>16135623</v>
      </c>
      <c r="D36" s="27" t="s">
        <v>14</v>
      </c>
      <c r="E36" s="27" t="s">
        <v>397</v>
      </c>
      <c r="F36" s="27" t="s">
        <v>24</v>
      </c>
      <c r="G36" s="27" t="s">
        <v>29</v>
      </c>
    </row>
    <row r="37" spans="1:7" x14ac:dyDescent="0.25">
      <c r="A37" s="25">
        <v>44803.343622685185</v>
      </c>
      <c r="B37" s="1">
        <v>44803</v>
      </c>
      <c r="C37" s="27">
        <v>16117927</v>
      </c>
      <c r="D37" s="27" t="s">
        <v>11</v>
      </c>
      <c r="E37" s="27" t="s">
        <v>370</v>
      </c>
      <c r="F37" s="27" t="s">
        <v>28</v>
      </c>
      <c r="G37" s="27" t="s">
        <v>29</v>
      </c>
    </row>
    <row r="38" spans="1:7" x14ac:dyDescent="0.25">
      <c r="A38" s="25">
        <v>44803.352222222224</v>
      </c>
      <c r="B38" s="1">
        <v>44803</v>
      </c>
      <c r="C38" s="27">
        <v>16135606</v>
      </c>
      <c r="D38" s="27" t="s">
        <v>14</v>
      </c>
      <c r="E38" s="27" t="s">
        <v>398</v>
      </c>
      <c r="F38" s="27" t="s">
        <v>28</v>
      </c>
      <c r="G38" s="27" t="s">
        <v>29</v>
      </c>
    </row>
    <row r="39" spans="1:7" x14ac:dyDescent="0.25">
      <c r="A39" s="25">
        <v>44802.60019675926</v>
      </c>
      <c r="B39" s="1">
        <v>44803</v>
      </c>
      <c r="C39" s="27">
        <v>16133295</v>
      </c>
      <c r="D39" s="27" t="s">
        <v>15</v>
      </c>
      <c r="E39" s="27" t="s">
        <v>399</v>
      </c>
      <c r="F39" s="27" t="s">
        <v>28</v>
      </c>
      <c r="G39" s="27" t="s">
        <v>29</v>
      </c>
    </row>
    <row r="40" spans="1:7" x14ac:dyDescent="0.25">
      <c r="A40" s="25">
        <v>44802.366875</v>
      </c>
      <c r="B40" s="1">
        <v>44803</v>
      </c>
      <c r="C40" s="27">
        <v>16130626</v>
      </c>
      <c r="D40" s="27" t="s">
        <v>11</v>
      </c>
      <c r="E40" s="27" t="s">
        <v>400</v>
      </c>
      <c r="F40" s="27" t="s">
        <v>28</v>
      </c>
      <c r="G40" s="27" t="s">
        <v>29</v>
      </c>
    </row>
    <row r="41" spans="1:7" x14ac:dyDescent="0.25">
      <c r="A41" s="25">
        <v>44799.579201388886</v>
      </c>
      <c r="B41" s="1">
        <v>44803</v>
      </c>
      <c r="C41" s="27">
        <v>16124686</v>
      </c>
      <c r="D41" s="27" t="s">
        <v>12</v>
      </c>
      <c r="E41" s="27" t="s">
        <v>64</v>
      </c>
      <c r="F41" s="27" t="s">
        <v>21</v>
      </c>
      <c r="G41" s="27" t="s">
        <v>29</v>
      </c>
    </row>
    <row r="42" spans="1:7" x14ac:dyDescent="0.25">
      <c r="A42" s="25">
        <v>44799.576631944445</v>
      </c>
      <c r="B42" s="1">
        <v>44803</v>
      </c>
      <c r="C42" s="27">
        <v>16124915</v>
      </c>
      <c r="D42" s="27" t="s">
        <v>11</v>
      </c>
      <c r="E42" s="27" t="s">
        <v>401</v>
      </c>
      <c r="F42" s="27" t="s">
        <v>28</v>
      </c>
      <c r="G42" s="27" t="s">
        <v>29</v>
      </c>
    </row>
    <row r="43" spans="1:7" x14ac:dyDescent="0.25">
      <c r="A43" s="25">
        <v>44799.589895833335</v>
      </c>
      <c r="B43" s="1">
        <v>44803</v>
      </c>
      <c r="C43" s="27">
        <v>16125148</v>
      </c>
      <c r="D43" s="27" t="s">
        <v>11</v>
      </c>
      <c r="E43" s="27" t="s">
        <v>402</v>
      </c>
      <c r="F43" s="27" t="s">
        <v>28</v>
      </c>
      <c r="G43" s="27" t="s">
        <v>29</v>
      </c>
    </row>
    <row r="44" spans="1:7" x14ac:dyDescent="0.25">
      <c r="A44" s="25">
        <v>44799.352337962962</v>
      </c>
      <c r="B44" s="1">
        <v>44803</v>
      </c>
      <c r="C44" s="27">
        <v>16122632</v>
      </c>
      <c r="D44" s="27" t="s">
        <v>11</v>
      </c>
      <c r="E44" s="27" t="s">
        <v>42</v>
      </c>
      <c r="F44" s="27" t="s">
        <v>28</v>
      </c>
      <c r="G44" s="27" t="s">
        <v>29</v>
      </c>
    </row>
    <row r="45" spans="1:7" x14ac:dyDescent="0.25">
      <c r="A45" s="25">
        <v>44802.372627314813</v>
      </c>
      <c r="B45" s="1">
        <v>44803</v>
      </c>
      <c r="C45" s="27">
        <v>16130631</v>
      </c>
      <c r="D45" s="27" t="s">
        <v>11</v>
      </c>
      <c r="E45" s="27" t="s">
        <v>65</v>
      </c>
      <c r="F45" s="27" t="s">
        <v>28</v>
      </c>
      <c r="G45" s="27" t="s">
        <v>29</v>
      </c>
    </row>
    <row r="46" spans="1:7" x14ac:dyDescent="0.25">
      <c r="A46" s="25">
        <v>44802.578865740739</v>
      </c>
      <c r="B46" s="1">
        <v>44803</v>
      </c>
      <c r="C46" s="27">
        <v>16132670</v>
      </c>
      <c r="D46" s="27" t="s">
        <v>11</v>
      </c>
      <c r="E46" s="27" t="s">
        <v>403</v>
      </c>
      <c r="F46" s="27" t="s">
        <v>28</v>
      </c>
      <c r="G46" s="27" t="s">
        <v>29</v>
      </c>
    </row>
    <row r="47" spans="1:7" x14ac:dyDescent="0.25">
      <c r="A47" s="25">
        <v>44802.581701388888</v>
      </c>
      <c r="B47" s="1">
        <v>44803</v>
      </c>
      <c r="C47" s="27">
        <v>16132720</v>
      </c>
      <c r="D47" s="27" t="s">
        <v>11</v>
      </c>
      <c r="E47" s="27" t="s">
        <v>404</v>
      </c>
      <c r="F47" s="27" t="s">
        <v>10</v>
      </c>
      <c r="G47" s="27" t="s">
        <v>29</v>
      </c>
    </row>
    <row r="48" spans="1:7" x14ac:dyDescent="0.25">
      <c r="A48" s="25">
        <v>44802.56763888889</v>
      </c>
      <c r="B48" s="1">
        <v>44803</v>
      </c>
      <c r="C48" s="27">
        <v>16132510</v>
      </c>
      <c r="D48" s="27" t="s">
        <v>11</v>
      </c>
      <c r="E48" s="27" t="s">
        <v>405</v>
      </c>
      <c r="F48" s="27" t="s">
        <v>28</v>
      </c>
      <c r="G48" s="27" t="s">
        <v>29</v>
      </c>
    </row>
    <row r="49" spans="1:7" x14ac:dyDescent="0.25">
      <c r="A49" s="25">
        <v>44802.373865740738</v>
      </c>
      <c r="B49" s="1">
        <v>44803</v>
      </c>
      <c r="C49" s="27">
        <v>16130713</v>
      </c>
      <c r="D49" s="27" t="s">
        <v>11</v>
      </c>
      <c r="E49" s="27" t="s">
        <v>42</v>
      </c>
      <c r="F49" s="27" t="s">
        <v>24</v>
      </c>
      <c r="G49" s="27" t="s">
        <v>29</v>
      </c>
    </row>
    <row r="50" spans="1:7" x14ac:dyDescent="0.25">
      <c r="A50" s="25">
        <v>44802.563657407409</v>
      </c>
      <c r="B50" s="1">
        <v>44803</v>
      </c>
      <c r="C50" s="27">
        <v>16136281</v>
      </c>
      <c r="D50" s="27" t="s">
        <v>15</v>
      </c>
      <c r="E50" s="27" t="s">
        <v>406</v>
      </c>
      <c r="F50" s="27" t="s">
        <v>28</v>
      </c>
      <c r="G50" s="27" t="s">
        <v>29</v>
      </c>
    </row>
    <row r="51" spans="1:7" x14ac:dyDescent="0.25">
      <c r="A51" s="25">
        <v>44803.640289351853</v>
      </c>
      <c r="B51" s="1">
        <v>44804</v>
      </c>
      <c r="C51" s="27">
        <v>16138364</v>
      </c>
      <c r="D51" s="27" t="s">
        <v>14</v>
      </c>
      <c r="E51" s="27" t="s">
        <v>407</v>
      </c>
      <c r="F51" s="27" t="s">
        <v>24</v>
      </c>
      <c r="G51" s="27" t="s">
        <v>29</v>
      </c>
    </row>
    <row r="52" spans="1:7" x14ac:dyDescent="0.25">
      <c r="A52" s="25">
        <v>44804.361319444448</v>
      </c>
      <c r="B52" s="1">
        <v>44804</v>
      </c>
      <c r="C52" s="27">
        <v>16140931</v>
      </c>
      <c r="D52" s="27" t="s">
        <v>15</v>
      </c>
      <c r="E52" s="27" t="s">
        <v>408</v>
      </c>
      <c r="F52" s="27" t="s">
        <v>24</v>
      </c>
      <c r="G52" s="27" t="s">
        <v>29</v>
      </c>
    </row>
    <row r="53" spans="1:7" x14ac:dyDescent="0.25">
      <c r="A53" s="25">
        <v>44804.381747685184</v>
      </c>
      <c r="B53" s="1">
        <v>44804</v>
      </c>
      <c r="C53" s="27">
        <v>16141258</v>
      </c>
      <c r="D53" s="27" t="s">
        <v>14</v>
      </c>
      <c r="E53" s="27" t="s">
        <v>398</v>
      </c>
      <c r="F53" s="27" t="s">
        <v>28</v>
      </c>
      <c r="G53" s="27" t="s">
        <v>29</v>
      </c>
    </row>
    <row r="54" spans="1:7" x14ac:dyDescent="0.25">
      <c r="A54" s="25">
        <v>44803.583645833336</v>
      </c>
      <c r="B54" s="1">
        <v>44804</v>
      </c>
      <c r="C54" s="27">
        <v>16138010</v>
      </c>
      <c r="D54" s="27" t="s">
        <v>11</v>
      </c>
      <c r="E54" s="27" t="s">
        <v>409</v>
      </c>
      <c r="F54" s="27" t="s">
        <v>28</v>
      </c>
      <c r="G54" s="27" t="s">
        <v>29</v>
      </c>
    </row>
    <row r="55" spans="1:7" x14ac:dyDescent="0.25">
      <c r="A55" s="25">
        <v>44803.638877314814</v>
      </c>
      <c r="B55" s="1">
        <v>44804</v>
      </c>
      <c r="C55" s="27">
        <v>16138311</v>
      </c>
      <c r="D55" s="27" t="s">
        <v>14</v>
      </c>
      <c r="E55" s="27" t="s">
        <v>383</v>
      </c>
      <c r="F55" s="27" t="s">
        <v>28</v>
      </c>
      <c r="G55" s="27" t="s">
        <v>29</v>
      </c>
    </row>
    <row r="56" spans="1:7" x14ac:dyDescent="0.25">
      <c r="A56" s="25">
        <v>44803.639270833337</v>
      </c>
      <c r="B56" s="1">
        <v>44804</v>
      </c>
      <c r="C56" s="27">
        <v>16133831</v>
      </c>
      <c r="D56" s="27" t="s">
        <v>14</v>
      </c>
      <c r="E56" s="27" t="s">
        <v>410</v>
      </c>
      <c r="F56" s="27" t="s">
        <v>24</v>
      </c>
      <c r="G56" s="27" t="s">
        <v>29</v>
      </c>
    </row>
    <row r="57" spans="1:7" x14ac:dyDescent="0.25">
      <c r="A57" s="25">
        <v>44804.467905092592</v>
      </c>
      <c r="B57" s="1">
        <v>44804</v>
      </c>
      <c r="C57" s="27">
        <v>16142194</v>
      </c>
      <c r="D57" s="27" t="s">
        <v>15</v>
      </c>
      <c r="E57" s="27" t="s">
        <v>412</v>
      </c>
      <c r="F57" s="27" t="s">
        <v>17</v>
      </c>
      <c r="G57" s="27" t="s">
        <v>29</v>
      </c>
    </row>
    <row r="58" spans="1:7" x14ac:dyDescent="0.25">
      <c r="A58" s="25">
        <v>44804.573622685188</v>
      </c>
      <c r="B58" s="1">
        <v>44804</v>
      </c>
      <c r="C58" s="27">
        <v>16142884</v>
      </c>
      <c r="D58" s="27" t="s">
        <v>11</v>
      </c>
      <c r="E58" s="27" t="s">
        <v>413</v>
      </c>
      <c r="F58" s="27" t="s">
        <v>18</v>
      </c>
      <c r="G58" s="27" t="s">
        <v>29</v>
      </c>
    </row>
    <row r="59" spans="1:7" x14ac:dyDescent="0.25">
      <c r="A59" s="25">
        <v>44804.663495370369</v>
      </c>
      <c r="B59" s="1">
        <v>44804</v>
      </c>
      <c r="C59" s="27">
        <v>16143936</v>
      </c>
      <c r="D59" s="27" t="s">
        <v>11</v>
      </c>
      <c r="E59" s="27" t="s">
        <v>414</v>
      </c>
      <c r="F59" s="27" t="s">
        <v>18</v>
      </c>
      <c r="G59" s="27" t="s">
        <v>29</v>
      </c>
    </row>
    <row r="60" spans="1:7" x14ac:dyDescent="0.25">
      <c r="A60" s="25">
        <v>44804.46634259259</v>
      </c>
      <c r="B60" s="1">
        <v>44804</v>
      </c>
      <c r="C60" s="27">
        <v>16142188</v>
      </c>
      <c r="D60" s="27" t="s">
        <v>15</v>
      </c>
      <c r="E60" s="27" t="s">
        <v>411</v>
      </c>
      <c r="F60" s="27" t="s">
        <v>17</v>
      </c>
      <c r="G60" s="27" t="s">
        <v>29</v>
      </c>
    </row>
    <row r="61" spans="1:7" x14ac:dyDescent="0.25">
      <c r="A61" s="25">
        <v>44804.396539351852</v>
      </c>
      <c r="B61" s="1">
        <v>44804</v>
      </c>
      <c r="C61" s="27">
        <v>16132503</v>
      </c>
      <c r="D61" s="27" t="s">
        <v>12</v>
      </c>
      <c r="E61" s="27" t="s">
        <v>415</v>
      </c>
      <c r="F61" s="27" t="s">
        <v>28</v>
      </c>
      <c r="G61" s="27" t="s">
        <v>29</v>
      </c>
    </row>
    <row r="62" spans="1:7" x14ac:dyDescent="0.25">
      <c r="A62" s="25">
        <v>44804.433020833334</v>
      </c>
      <c r="B62" s="1">
        <v>44804</v>
      </c>
      <c r="C62" s="27">
        <v>16141910</v>
      </c>
      <c r="D62" s="27" t="s">
        <v>14</v>
      </c>
      <c r="E62" s="27" t="s">
        <v>417</v>
      </c>
      <c r="F62" s="27" t="s">
        <v>28</v>
      </c>
      <c r="G62" s="27" t="s">
        <v>29</v>
      </c>
    </row>
    <row r="63" spans="1:7" x14ac:dyDescent="0.25">
      <c r="A63" s="25">
        <v>44803.578750000001</v>
      </c>
      <c r="B63" s="1">
        <v>44804</v>
      </c>
      <c r="C63" s="27">
        <v>16137949</v>
      </c>
      <c r="D63" s="27" t="s">
        <v>15</v>
      </c>
      <c r="E63" s="27" t="s">
        <v>422</v>
      </c>
      <c r="F63" s="27" t="s">
        <v>28</v>
      </c>
      <c r="G63" s="27" t="s">
        <v>29</v>
      </c>
    </row>
    <row r="64" spans="1:7" x14ac:dyDescent="0.25">
      <c r="A64" s="25">
        <v>44799.557939814818</v>
      </c>
      <c r="B64" s="1">
        <v>44804</v>
      </c>
      <c r="C64" s="27">
        <v>16040853</v>
      </c>
      <c r="D64" s="27" t="s">
        <v>12</v>
      </c>
      <c r="E64" s="27" t="s">
        <v>418</v>
      </c>
      <c r="F64" s="27" t="s">
        <v>28</v>
      </c>
      <c r="G64" s="27" t="s">
        <v>29</v>
      </c>
    </row>
    <row r="65" spans="1:7" x14ac:dyDescent="0.25">
      <c r="A65" s="25">
        <v>44799.558368055557</v>
      </c>
      <c r="B65" s="1">
        <v>44804</v>
      </c>
      <c r="C65" s="27">
        <v>16123909</v>
      </c>
      <c r="D65" s="27" t="s">
        <v>12</v>
      </c>
      <c r="E65" s="27" t="s">
        <v>419</v>
      </c>
      <c r="F65" s="27" t="s">
        <v>28</v>
      </c>
      <c r="G65" s="27" t="s">
        <v>29</v>
      </c>
    </row>
    <row r="66" spans="1:7" x14ac:dyDescent="0.25">
      <c r="A66" s="25">
        <v>44803.349374999998</v>
      </c>
      <c r="B66" s="1">
        <v>44804</v>
      </c>
      <c r="C66" s="27">
        <v>16135556</v>
      </c>
      <c r="D66" s="27" t="s">
        <v>11</v>
      </c>
      <c r="E66" s="27" t="s">
        <v>65</v>
      </c>
      <c r="F66" s="27" t="s">
        <v>28</v>
      </c>
      <c r="G66" s="27" t="s">
        <v>29</v>
      </c>
    </row>
    <row r="67" spans="1:7" x14ac:dyDescent="0.25">
      <c r="A67" s="25">
        <v>44802.580590277779</v>
      </c>
      <c r="B67" s="1">
        <v>44804</v>
      </c>
      <c r="C67" s="27">
        <v>16132698</v>
      </c>
      <c r="D67" s="27" t="s">
        <v>11</v>
      </c>
      <c r="E67" s="27" t="s">
        <v>402</v>
      </c>
      <c r="F67" s="27" t="s">
        <v>28</v>
      </c>
      <c r="G67" s="27" t="s">
        <v>29</v>
      </c>
    </row>
    <row r="68" spans="1:7" x14ac:dyDescent="0.25">
      <c r="A68" s="25">
        <v>44802.688807870371</v>
      </c>
      <c r="B68" s="1">
        <v>44804</v>
      </c>
      <c r="C68" s="27">
        <v>16133546</v>
      </c>
      <c r="D68" s="27" t="s">
        <v>14</v>
      </c>
      <c r="E68" s="27" t="s">
        <v>407</v>
      </c>
      <c r="F68" s="27" t="s">
        <v>28</v>
      </c>
      <c r="G68" s="27" t="s">
        <v>29</v>
      </c>
    </row>
    <row r="69" spans="1:7" x14ac:dyDescent="0.25">
      <c r="A69" s="25">
        <v>44799.542141203703</v>
      </c>
      <c r="B69" s="1">
        <v>44804</v>
      </c>
      <c r="C69" s="27">
        <v>16124404</v>
      </c>
      <c r="D69" s="27" t="s">
        <v>7</v>
      </c>
      <c r="E69" s="27" t="s">
        <v>420</v>
      </c>
      <c r="F69" s="27" t="s">
        <v>28</v>
      </c>
      <c r="G69" s="27" t="s">
        <v>29</v>
      </c>
    </row>
    <row r="70" spans="1:7" x14ac:dyDescent="0.25">
      <c r="A70" s="25">
        <v>44803.568553240744</v>
      </c>
      <c r="B70" s="1">
        <v>44804</v>
      </c>
      <c r="C70" s="27">
        <v>16137807</v>
      </c>
      <c r="D70" s="27" t="s">
        <v>15</v>
      </c>
      <c r="E70" s="27" t="s">
        <v>406</v>
      </c>
      <c r="F70" s="27" t="s">
        <v>28</v>
      </c>
      <c r="G70" s="27" t="s">
        <v>29</v>
      </c>
    </row>
    <row r="71" spans="1:7" x14ac:dyDescent="0.25">
      <c r="A71" s="25">
        <v>44803.572291666664</v>
      </c>
      <c r="B71" s="1">
        <v>44804</v>
      </c>
      <c r="C71" s="27">
        <v>16137846</v>
      </c>
      <c r="D71" s="27" t="s">
        <v>11</v>
      </c>
      <c r="E71" s="27" t="s">
        <v>421</v>
      </c>
      <c r="F71" s="27" t="s">
        <v>28</v>
      </c>
      <c r="G71" s="27" t="s">
        <v>29</v>
      </c>
    </row>
    <row r="72" spans="1:7" x14ac:dyDescent="0.25">
      <c r="A72" s="25">
        <v>44803.574537037035</v>
      </c>
      <c r="B72" s="1">
        <v>44804</v>
      </c>
      <c r="C72" s="27">
        <v>16137896</v>
      </c>
      <c r="D72" s="27" t="s">
        <v>15</v>
      </c>
      <c r="E72" s="27" t="s">
        <v>399</v>
      </c>
      <c r="F72" s="27" t="s">
        <v>28</v>
      </c>
      <c r="G72" s="27" t="s">
        <v>29</v>
      </c>
    </row>
    <row r="73" spans="1:7" x14ac:dyDescent="0.25">
      <c r="A73" s="25">
        <v>44803.371782407405</v>
      </c>
      <c r="B73" s="1">
        <v>44804</v>
      </c>
      <c r="C73" s="27">
        <v>16135854</v>
      </c>
      <c r="D73" s="27" t="s">
        <v>11</v>
      </c>
      <c r="E73" s="27" t="s">
        <v>42</v>
      </c>
      <c r="F73" s="27" t="s">
        <v>28</v>
      </c>
      <c r="G73" s="27" t="s">
        <v>29</v>
      </c>
    </row>
    <row r="74" spans="1:7" x14ac:dyDescent="0.25">
      <c r="A74" s="25">
        <v>44803.387349537035</v>
      </c>
      <c r="B74" s="1">
        <v>44804</v>
      </c>
      <c r="C74" s="27">
        <v>16136070</v>
      </c>
      <c r="D74" s="27" t="s">
        <v>11</v>
      </c>
      <c r="E74" s="27" t="s">
        <v>423</v>
      </c>
      <c r="F74" s="27" t="s">
        <v>28</v>
      </c>
      <c r="G74" s="27" t="s">
        <v>29</v>
      </c>
    </row>
    <row r="75" spans="1:7" x14ac:dyDescent="0.25">
      <c r="A75" s="25">
        <v>44803.566053240742</v>
      </c>
      <c r="B75" s="1">
        <v>44804</v>
      </c>
      <c r="C75" s="27">
        <v>16137777</v>
      </c>
      <c r="D75" s="27" t="s">
        <v>15</v>
      </c>
      <c r="E75" s="27" t="s">
        <v>390</v>
      </c>
      <c r="F75" s="27" t="s">
        <v>28</v>
      </c>
      <c r="G75" s="27" t="s">
        <v>29</v>
      </c>
    </row>
    <row r="76" spans="1:7" x14ac:dyDescent="0.25">
      <c r="A76" s="25">
        <v>44804.589525462965</v>
      </c>
      <c r="B76" s="1">
        <v>44805</v>
      </c>
      <c r="C76" s="27">
        <v>16143090</v>
      </c>
      <c r="D76" s="27" t="s">
        <v>11</v>
      </c>
      <c r="E76" s="27" t="s">
        <v>426</v>
      </c>
      <c r="F76" s="27" t="s">
        <v>18</v>
      </c>
      <c r="G76" s="27" t="s">
        <v>29</v>
      </c>
    </row>
    <row r="77" spans="1:7" x14ac:dyDescent="0.25">
      <c r="A77" s="25">
        <v>44804.611157407409</v>
      </c>
      <c r="B77" s="1">
        <v>44805</v>
      </c>
      <c r="C77" s="27">
        <v>16143360</v>
      </c>
      <c r="D77" s="27" t="s">
        <v>11</v>
      </c>
      <c r="E77" s="27" t="s">
        <v>424</v>
      </c>
      <c r="F77" s="27" t="s">
        <v>18</v>
      </c>
      <c r="G77" s="27" t="s">
        <v>29</v>
      </c>
    </row>
    <row r="78" spans="1:7" x14ac:dyDescent="0.25">
      <c r="A78" s="25">
        <v>44804.583622685182</v>
      </c>
      <c r="B78" s="1">
        <v>44805</v>
      </c>
      <c r="C78" s="27">
        <v>16143030</v>
      </c>
      <c r="D78" s="27" t="s">
        <v>15</v>
      </c>
      <c r="E78" s="27" t="s">
        <v>428</v>
      </c>
      <c r="F78" s="27" t="s">
        <v>24</v>
      </c>
      <c r="G78" s="27" t="s">
        <v>29</v>
      </c>
    </row>
    <row r="79" spans="1:7" x14ac:dyDescent="0.25">
      <c r="A79" s="25">
        <v>44804.580740740741</v>
      </c>
      <c r="B79" s="1">
        <v>44805</v>
      </c>
      <c r="C79" s="27">
        <v>16142992</v>
      </c>
      <c r="D79" s="27" t="s">
        <v>11</v>
      </c>
      <c r="E79" s="27" t="s">
        <v>434</v>
      </c>
      <c r="F79" s="27" t="s">
        <v>28</v>
      </c>
      <c r="G79" s="27" t="s">
        <v>29</v>
      </c>
    </row>
    <row r="80" spans="1:7" x14ac:dyDescent="0.25">
      <c r="A80" s="25">
        <v>44804.580775462964</v>
      </c>
      <c r="B80" s="1">
        <v>44805</v>
      </c>
      <c r="C80" s="27">
        <v>16142994</v>
      </c>
      <c r="D80" s="27" t="s">
        <v>15</v>
      </c>
      <c r="E80" s="27" t="s">
        <v>427</v>
      </c>
      <c r="F80" s="27" t="s">
        <v>28</v>
      </c>
      <c r="G80" s="27" t="s">
        <v>29</v>
      </c>
    </row>
    <row r="81" spans="1:7" x14ac:dyDescent="0.25">
      <c r="A81" s="25">
        <v>44804.624502314815</v>
      </c>
      <c r="B81" s="1">
        <v>44805</v>
      </c>
      <c r="C81" s="27">
        <v>16143793</v>
      </c>
      <c r="D81" s="27" t="s">
        <v>14</v>
      </c>
      <c r="E81" s="27" t="s">
        <v>425</v>
      </c>
      <c r="F81" s="27" t="s">
        <v>24</v>
      </c>
      <c r="G81" s="27" t="s">
        <v>29</v>
      </c>
    </row>
    <row r="82" spans="1:7" x14ac:dyDescent="0.25">
      <c r="A82" s="25">
        <v>44805.625219907408</v>
      </c>
      <c r="B82" s="1">
        <v>44805</v>
      </c>
      <c r="C82" s="27">
        <v>16147948</v>
      </c>
      <c r="D82" s="27" t="s">
        <v>14</v>
      </c>
      <c r="E82" s="27" t="s">
        <v>432</v>
      </c>
      <c r="F82" s="27" t="s">
        <v>28</v>
      </c>
      <c r="G82" s="27" t="s">
        <v>29</v>
      </c>
    </row>
    <row r="83" spans="1:7" x14ac:dyDescent="0.25">
      <c r="A83" s="25">
        <v>44805.633645833332</v>
      </c>
      <c r="B83" s="1">
        <v>44805</v>
      </c>
      <c r="C83" s="27">
        <v>16147690</v>
      </c>
      <c r="D83" s="27" t="s">
        <v>7</v>
      </c>
      <c r="E83" s="27" t="s">
        <v>431</v>
      </c>
      <c r="F83" s="27" t="s">
        <v>28</v>
      </c>
      <c r="G83" s="27" t="s">
        <v>29</v>
      </c>
    </row>
    <row r="84" spans="1:7" x14ac:dyDescent="0.25">
      <c r="A84" s="25">
        <v>44805.623715277776</v>
      </c>
      <c r="B84" s="1">
        <v>44805</v>
      </c>
      <c r="C84" s="27">
        <v>16147883</v>
      </c>
      <c r="D84" s="27" t="s">
        <v>14</v>
      </c>
      <c r="E84" s="27" t="s">
        <v>433</v>
      </c>
      <c r="F84" s="27" t="s">
        <v>28</v>
      </c>
      <c r="G84" s="27" t="s">
        <v>29</v>
      </c>
    </row>
    <row r="85" spans="1:7" x14ac:dyDescent="0.25">
      <c r="A85" s="25">
        <v>44805.341874999998</v>
      </c>
      <c r="B85" s="1">
        <v>44805</v>
      </c>
      <c r="C85" s="27">
        <v>16145755</v>
      </c>
      <c r="D85" s="27" t="s">
        <v>14</v>
      </c>
      <c r="E85" s="27" t="s">
        <v>429</v>
      </c>
      <c r="F85" s="27" t="s">
        <v>28</v>
      </c>
      <c r="G85" s="27" t="s">
        <v>29</v>
      </c>
    </row>
    <row r="86" spans="1:7" x14ac:dyDescent="0.25">
      <c r="A86" s="25">
        <v>44805.402719907404</v>
      </c>
      <c r="B86" s="1">
        <v>44805</v>
      </c>
      <c r="C86" s="27">
        <v>16146675</v>
      </c>
      <c r="D86" s="27" t="s">
        <v>15</v>
      </c>
      <c r="E86" s="27" t="s">
        <v>412</v>
      </c>
      <c r="F86" s="27" t="s">
        <v>24</v>
      </c>
      <c r="G86" s="27" t="s">
        <v>29</v>
      </c>
    </row>
    <row r="87" spans="1:7" x14ac:dyDescent="0.25">
      <c r="A87" s="25">
        <v>44804.579189814816</v>
      </c>
      <c r="B87" s="1">
        <v>44805</v>
      </c>
      <c r="C87" s="27">
        <v>16142969</v>
      </c>
      <c r="D87" s="27" t="s">
        <v>11</v>
      </c>
      <c r="E87" s="27" t="s">
        <v>405</v>
      </c>
      <c r="F87" s="27" t="s">
        <v>28</v>
      </c>
      <c r="G87" s="27" t="s">
        <v>29</v>
      </c>
    </row>
    <row r="88" spans="1:7" x14ac:dyDescent="0.25">
      <c r="A88" s="25">
        <v>44804.356990740744</v>
      </c>
      <c r="B88" s="1">
        <v>44805</v>
      </c>
      <c r="C88" s="27">
        <v>16140841</v>
      </c>
      <c r="D88" s="27" t="s">
        <v>11</v>
      </c>
      <c r="E88" s="27" t="s">
        <v>439</v>
      </c>
      <c r="F88" s="27" t="s">
        <v>28</v>
      </c>
      <c r="G88" s="27" t="s">
        <v>29</v>
      </c>
    </row>
    <row r="89" spans="1:7" x14ac:dyDescent="0.25">
      <c r="A89" s="25">
        <v>44804.36010416667</v>
      </c>
      <c r="B89" s="1">
        <v>44805</v>
      </c>
      <c r="C89" s="27">
        <v>16140912</v>
      </c>
      <c r="D89" s="27" t="s">
        <v>11</v>
      </c>
      <c r="E89" s="27" t="s">
        <v>437</v>
      </c>
      <c r="F89" s="27" t="s">
        <v>28</v>
      </c>
      <c r="G89" s="27" t="s">
        <v>29</v>
      </c>
    </row>
    <row r="90" spans="1:7" x14ac:dyDescent="0.25">
      <c r="A90" s="25">
        <v>44804.421400462961</v>
      </c>
      <c r="B90" s="1">
        <v>44805</v>
      </c>
      <c r="C90" s="27">
        <v>16141783</v>
      </c>
      <c r="D90" s="27" t="s">
        <v>11</v>
      </c>
      <c r="E90" s="27" t="s">
        <v>438</v>
      </c>
      <c r="F90" s="27" t="s">
        <v>24</v>
      </c>
      <c r="G90" s="27" t="s">
        <v>29</v>
      </c>
    </row>
    <row r="91" spans="1:7" x14ac:dyDescent="0.25">
      <c r="A91" s="25">
        <v>44804.41983796296</v>
      </c>
      <c r="B91" s="1">
        <v>44805</v>
      </c>
      <c r="C91" s="27">
        <v>16141738</v>
      </c>
      <c r="D91" s="27" t="s">
        <v>14</v>
      </c>
      <c r="E91" s="27" t="s">
        <v>416</v>
      </c>
      <c r="F91" s="27" t="s">
        <v>28</v>
      </c>
      <c r="G91" s="27" t="s">
        <v>29</v>
      </c>
    </row>
    <row r="92" spans="1:7" x14ac:dyDescent="0.25">
      <c r="A92" s="25">
        <v>44804.389131944445</v>
      </c>
      <c r="B92" s="1">
        <v>44805</v>
      </c>
      <c r="C92" s="27">
        <v>16141377</v>
      </c>
      <c r="D92" s="27" t="s">
        <v>11</v>
      </c>
      <c r="E92" s="27" t="s">
        <v>435</v>
      </c>
      <c r="F92" s="27" t="s">
        <v>28</v>
      </c>
      <c r="G92" s="27" t="s">
        <v>29</v>
      </c>
    </row>
    <row r="93" spans="1:7" x14ac:dyDescent="0.25">
      <c r="A93" s="25">
        <v>44804.366435185184</v>
      </c>
      <c r="B93" s="1">
        <v>44805</v>
      </c>
      <c r="C93" s="27">
        <v>16141032</v>
      </c>
      <c r="D93" s="27" t="s">
        <v>11</v>
      </c>
      <c r="E93" s="27" t="s">
        <v>436</v>
      </c>
      <c r="F93" s="27" t="s">
        <v>28</v>
      </c>
      <c r="G93" s="27" t="s">
        <v>29</v>
      </c>
    </row>
    <row r="94" spans="1:7" x14ac:dyDescent="0.25">
      <c r="A94" s="25">
        <v>44804.577951388892</v>
      </c>
      <c r="B94" s="1">
        <v>44805</v>
      </c>
      <c r="C94" s="27">
        <v>16142826</v>
      </c>
      <c r="D94" s="27" t="s">
        <v>12</v>
      </c>
      <c r="E94" s="27" t="s">
        <v>443</v>
      </c>
      <c r="F94" s="27" t="s">
        <v>28</v>
      </c>
      <c r="G94" s="27" t="s">
        <v>29</v>
      </c>
    </row>
    <row r="95" spans="1:7" x14ac:dyDescent="0.25">
      <c r="A95" s="25">
        <v>44804.578067129631</v>
      </c>
      <c r="B95" s="1">
        <v>44805</v>
      </c>
      <c r="C95" s="27">
        <v>16142931</v>
      </c>
      <c r="D95" s="27" t="s">
        <v>12</v>
      </c>
      <c r="E95" s="27" t="s">
        <v>444</v>
      </c>
      <c r="F95" s="27" t="s">
        <v>28</v>
      </c>
      <c r="G95" s="27" t="s">
        <v>29</v>
      </c>
    </row>
    <row r="96" spans="1:7" x14ac:dyDescent="0.25">
      <c r="A96" s="25">
        <v>44804.577719907407</v>
      </c>
      <c r="B96" s="1">
        <v>44805</v>
      </c>
      <c r="C96" s="27">
        <v>16142937</v>
      </c>
      <c r="D96" s="27" t="s">
        <v>11</v>
      </c>
      <c r="E96" s="27" t="s">
        <v>442</v>
      </c>
      <c r="F96" s="27" t="s">
        <v>28</v>
      </c>
      <c r="G96" s="27" t="s">
        <v>29</v>
      </c>
    </row>
    <row r="97" spans="1:7" x14ac:dyDescent="0.25">
      <c r="A97" s="25">
        <v>44804.563668981478</v>
      </c>
      <c r="B97" s="1">
        <v>44805</v>
      </c>
      <c r="C97" s="27">
        <v>16036817</v>
      </c>
      <c r="D97" s="27" t="s">
        <v>15</v>
      </c>
      <c r="E97" s="27" t="s">
        <v>440</v>
      </c>
      <c r="F97" s="27" t="s">
        <v>28</v>
      </c>
      <c r="G97" s="27" t="s">
        <v>29</v>
      </c>
    </row>
    <row r="98" spans="1:7" x14ac:dyDescent="0.25">
      <c r="A98" s="25">
        <v>44804.577708333331</v>
      </c>
      <c r="B98" s="1">
        <v>44805</v>
      </c>
      <c r="C98" s="27">
        <v>16142734</v>
      </c>
      <c r="D98" s="27" t="s">
        <v>12</v>
      </c>
      <c r="E98" s="27" t="s">
        <v>441</v>
      </c>
      <c r="F98" s="27" t="s">
        <v>28</v>
      </c>
      <c r="G98" s="27" t="s">
        <v>29</v>
      </c>
    </row>
    <row r="99" spans="1:7" x14ac:dyDescent="0.25">
      <c r="A99" s="25">
        <v>44805.631493055553</v>
      </c>
      <c r="B99" s="1">
        <v>44806</v>
      </c>
      <c r="C99" s="27">
        <v>16148499</v>
      </c>
      <c r="D99" s="27" t="s">
        <v>7</v>
      </c>
      <c r="E99" s="27" t="s">
        <v>430</v>
      </c>
      <c r="F99" s="27" t="s">
        <v>24</v>
      </c>
      <c r="G99" s="27" t="s">
        <v>29</v>
      </c>
    </row>
    <row r="100" spans="1:7" x14ac:dyDescent="0.25">
      <c r="A100" s="25">
        <v>44805.614768518521</v>
      </c>
      <c r="B100" s="1">
        <v>44806</v>
      </c>
      <c r="C100" s="27">
        <v>16148267</v>
      </c>
      <c r="D100" s="27" t="s">
        <v>14</v>
      </c>
      <c r="E100" s="27" t="s">
        <v>446</v>
      </c>
      <c r="F100" s="27" t="s">
        <v>24</v>
      </c>
      <c r="G100" s="27" t="s">
        <v>29</v>
      </c>
    </row>
    <row r="101" spans="1:7" x14ac:dyDescent="0.25">
      <c r="A101" s="25">
        <v>44805.613449074073</v>
      </c>
      <c r="B101" s="1">
        <v>44806</v>
      </c>
      <c r="C101" s="27">
        <v>16148166</v>
      </c>
      <c r="D101" s="27" t="s">
        <v>14</v>
      </c>
      <c r="E101" s="27" t="s">
        <v>416</v>
      </c>
      <c r="F101" s="27" t="s">
        <v>28</v>
      </c>
      <c r="G101" s="27" t="s">
        <v>29</v>
      </c>
    </row>
    <row r="102" spans="1:7" x14ac:dyDescent="0.25">
      <c r="A102" s="25">
        <v>44806.33792824074</v>
      </c>
      <c r="B102" s="1">
        <v>44806</v>
      </c>
      <c r="C102" s="27">
        <v>16150626</v>
      </c>
      <c r="D102" s="27" t="s">
        <v>12</v>
      </c>
      <c r="E102" s="27" t="s">
        <v>555</v>
      </c>
      <c r="F102" s="27" t="s">
        <v>28</v>
      </c>
      <c r="G102" s="27" t="s">
        <v>29</v>
      </c>
    </row>
    <row r="103" spans="1:7" x14ac:dyDescent="0.25">
      <c r="A103" s="25">
        <v>44806.593368055554</v>
      </c>
      <c r="B103" s="1">
        <v>44806</v>
      </c>
      <c r="C103" s="27">
        <v>16153675</v>
      </c>
      <c r="D103" s="27" t="s">
        <v>7</v>
      </c>
      <c r="E103" s="27" t="s">
        <v>556</v>
      </c>
      <c r="F103" s="27" t="s">
        <v>24</v>
      </c>
      <c r="G103" s="27" t="s">
        <v>29</v>
      </c>
    </row>
    <row r="104" spans="1:7" x14ac:dyDescent="0.25">
      <c r="A104" s="25">
        <v>44806.578356481485</v>
      </c>
      <c r="B104" s="1">
        <v>44806</v>
      </c>
      <c r="C104" s="27">
        <v>16153444</v>
      </c>
      <c r="D104" s="27" t="s">
        <v>15</v>
      </c>
      <c r="E104" s="27" t="s">
        <v>557</v>
      </c>
      <c r="F104" s="27" t="s">
        <v>24</v>
      </c>
      <c r="G104" s="27" t="s">
        <v>29</v>
      </c>
    </row>
    <row r="105" spans="1:7" x14ac:dyDescent="0.25">
      <c r="A105" s="25">
        <v>44806.545393518521</v>
      </c>
      <c r="B105" s="1">
        <v>44806</v>
      </c>
      <c r="C105" s="27">
        <v>16152953</v>
      </c>
      <c r="D105" s="27" t="s">
        <v>15</v>
      </c>
      <c r="E105" s="27" t="s">
        <v>558</v>
      </c>
      <c r="F105" s="27" t="s">
        <v>24</v>
      </c>
      <c r="G105" s="27" t="s">
        <v>29</v>
      </c>
    </row>
    <row r="106" spans="1:7" x14ac:dyDescent="0.25">
      <c r="A106" s="25">
        <v>44805.374513888892</v>
      </c>
      <c r="B106" s="1">
        <v>44806</v>
      </c>
      <c r="C106" s="27">
        <v>16146297</v>
      </c>
      <c r="D106" s="27" t="s">
        <v>11</v>
      </c>
      <c r="E106" s="27" t="s">
        <v>436</v>
      </c>
      <c r="F106" s="27" t="s">
        <v>28</v>
      </c>
      <c r="G106" s="27" t="s">
        <v>29</v>
      </c>
    </row>
    <row r="107" spans="1:7" x14ac:dyDescent="0.25">
      <c r="A107" s="25">
        <v>44805.370752314811</v>
      </c>
      <c r="B107" s="1">
        <v>44806</v>
      </c>
      <c r="C107" s="27">
        <v>16146243</v>
      </c>
      <c r="D107" s="27" t="s">
        <v>11</v>
      </c>
      <c r="E107" s="27" t="s">
        <v>437</v>
      </c>
      <c r="F107" s="27" t="s">
        <v>28</v>
      </c>
      <c r="G107" s="27" t="s">
        <v>29</v>
      </c>
    </row>
    <row r="108" spans="1:7" x14ac:dyDescent="0.25">
      <c r="A108" s="25">
        <v>44805.369375000002</v>
      </c>
      <c r="B108" s="1">
        <v>44806</v>
      </c>
      <c r="C108" s="27">
        <v>16146218</v>
      </c>
      <c r="D108" s="27" t="s">
        <v>11</v>
      </c>
      <c r="E108" s="27" t="s">
        <v>424</v>
      </c>
      <c r="F108" s="27" t="s">
        <v>28</v>
      </c>
      <c r="G108" s="27" t="s">
        <v>29</v>
      </c>
    </row>
    <row r="109" spans="1:7" x14ac:dyDescent="0.25">
      <c r="A109" s="25">
        <v>44805.564212962963</v>
      </c>
      <c r="B109" s="1">
        <v>44806</v>
      </c>
      <c r="C109" s="27">
        <v>16147600</v>
      </c>
      <c r="D109" s="27" t="s">
        <v>15</v>
      </c>
      <c r="E109" s="27" t="s">
        <v>448</v>
      </c>
      <c r="F109" s="27" t="s">
        <v>28</v>
      </c>
      <c r="G109" s="27" t="s">
        <v>29</v>
      </c>
    </row>
    <row r="110" spans="1:7" x14ac:dyDescent="0.25">
      <c r="A110" s="25">
        <v>44805.577881944446</v>
      </c>
      <c r="B110" s="1">
        <v>44806</v>
      </c>
      <c r="C110" s="27">
        <v>16147756</v>
      </c>
      <c r="D110" s="27" t="s">
        <v>11</v>
      </c>
      <c r="E110" s="27" t="s">
        <v>445</v>
      </c>
      <c r="F110" s="27" t="s">
        <v>24</v>
      </c>
      <c r="G110" s="27" t="s">
        <v>29</v>
      </c>
    </row>
    <row r="111" spans="1:7" x14ac:dyDescent="0.25">
      <c r="A111" s="25">
        <v>44805.575833333336</v>
      </c>
      <c r="B111" s="1">
        <v>44806</v>
      </c>
      <c r="C111" s="27">
        <v>16147738</v>
      </c>
      <c r="D111" s="27" t="s">
        <v>11</v>
      </c>
      <c r="E111" s="27" t="s">
        <v>405</v>
      </c>
      <c r="F111" s="27" t="s">
        <v>28</v>
      </c>
      <c r="G111" s="27" t="s">
        <v>29</v>
      </c>
    </row>
    <row r="112" spans="1:7" x14ac:dyDescent="0.25">
      <c r="A112" s="25">
        <v>44805.574803240743</v>
      </c>
      <c r="B112" s="1">
        <v>44806</v>
      </c>
      <c r="C112" s="27">
        <v>16147721</v>
      </c>
      <c r="D112" s="27" t="s">
        <v>11</v>
      </c>
      <c r="E112" s="27" t="s">
        <v>449</v>
      </c>
      <c r="F112" s="27" t="s">
        <v>28</v>
      </c>
      <c r="G112" s="27" t="s">
        <v>29</v>
      </c>
    </row>
    <row r="113" spans="1:7" x14ac:dyDescent="0.25">
      <c r="A113" s="25">
        <v>44806.603252314817</v>
      </c>
      <c r="B113" s="1">
        <v>44807</v>
      </c>
      <c r="C113" s="27">
        <v>16153905</v>
      </c>
      <c r="D113" s="27" t="s">
        <v>15</v>
      </c>
      <c r="E113" s="27" t="s">
        <v>559</v>
      </c>
      <c r="F113" s="27" t="s">
        <v>24</v>
      </c>
      <c r="G113" s="27" t="s">
        <v>29</v>
      </c>
    </row>
    <row r="114" spans="1:7" x14ac:dyDescent="0.25">
      <c r="A114" s="25">
        <v>44807.447881944441</v>
      </c>
      <c r="B114" s="1">
        <v>44807</v>
      </c>
      <c r="C114" s="27">
        <v>16156635</v>
      </c>
      <c r="D114" s="27" t="s">
        <v>11</v>
      </c>
      <c r="E114" s="27" t="s">
        <v>676</v>
      </c>
      <c r="F114" s="27" t="s">
        <v>24</v>
      </c>
      <c r="G114" s="27" t="s">
        <v>29</v>
      </c>
    </row>
    <row r="115" spans="1:7" x14ac:dyDescent="0.25">
      <c r="A115" s="25">
        <v>44805.572430555556</v>
      </c>
      <c r="B115" s="1">
        <v>44807</v>
      </c>
      <c r="C115" s="27">
        <v>16146964</v>
      </c>
      <c r="D115" s="27" t="s">
        <v>46</v>
      </c>
      <c r="E115" s="27" t="s">
        <v>450</v>
      </c>
      <c r="F115" s="27" t="s">
        <v>24</v>
      </c>
      <c r="G115" s="27" t="s">
        <v>29</v>
      </c>
    </row>
    <row r="116" spans="1:7" x14ac:dyDescent="0.25">
      <c r="A116" s="25">
        <v>44806.599259259259</v>
      </c>
      <c r="B116" s="1">
        <v>44807</v>
      </c>
      <c r="C116" s="27">
        <v>16153819</v>
      </c>
      <c r="D116" s="27" t="s">
        <v>15</v>
      </c>
      <c r="E116" s="27" t="s">
        <v>560</v>
      </c>
      <c r="F116" s="27" t="s">
        <v>28</v>
      </c>
      <c r="G116" s="27" t="s">
        <v>29</v>
      </c>
    </row>
    <row r="117" spans="1:7" x14ac:dyDescent="0.25">
      <c r="A117" s="25">
        <v>44808.443761574075</v>
      </c>
      <c r="B117" s="1">
        <v>44808</v>
      </c>
      <c r="C117" s="27">
        <v>16157653</v>
      </c>
      <c r="D117" s="27" t="s">
        <v>14</v>
      </c>
      <c r="E117" s="27" t="s">
        <v>677</v>
      </c>
      <c r="F117" s="27" t="s">
        <v>28</v>
      </c>
      <c r="G117" s="27" t="s">
        <v>29</v>
      </c>
    </row>
    <row r="118" spans="1:7" x14ac:dyDescent="0.25">
      <c r="A118" s="25">
        <v>44806.606053240743</v>
      </c>
      <c r="B118" s="1">
        <v>44809</v>
      </c>
      <c r="C118" s="27">
        <v>16153899</v>
      </c>
      <c r="D118" s="27" t="s">
        <v>566</v>
      </c>
      <c r="E118" s="27" t="s">
        <v>446</v>
      </c>
      <c r="F118" s="27"/>
      <c r="G118" s="27" t="s">
        <v>29</v>
      </c>
    </row>
    <row r="119" spans="1:7" x14ac:dyDescent="0.25">
      <c r="A119" s="25">
        <v>44806.609884259262</v>
      </c>
      <c r="B119" s="1">
        <v>44809</v>
      </c>
      <c r="C119" s="27">
        <v>16154022</v>
      </c>
      <c r="D119" s="27" t="s">
        <v>11</v>
      </c>
      <c r="E119" s="27" t="s">
        <v>567</v>
      </c>
      <c r="F119" s="27" t="s">
        <v>24</v>
      </c>
      <c r="G119" s="27" t="s">
        <v>29</v>
      </c>
    </row>
    <row r="120" spans="1:7" x14ac:dyDescent="0.25">
      <c r="A120" s="25">
        <v>44806.626180555555</v>
      </c>
      <c r="B120" s="1">
        <v>44809</v>
      </c>
      <c r="C120" s="27">
        <v>16154092</v>
      </c>
      <c r="D120" s="27" t="s">
        <v>14</v>
      </c>
      <c r="E120" s="27" t="s">
        <v>565</v>
      </c>
      <c r="F120" s="27" t="s">
        <v>17</v>
      </c>
      <c r="G120" s="27" t="s">
        <v>29</v>
      </c>
    </row>
    <row r="121" spans="1:7" x14ac:dyDescent="0.25">
      <c r="A121" s="25">
        <v>44806.604583333334</v>
      </c>
      <c r="B121" s="1">
        <v>44809</v>
      </c>
      <c r="C121" s="27">
        <v>16153846</v>
      </c>
      <c r="D121" s="27" t="s">
        <v>14</v>
      </c>
      <c r="E121" s="27" t="s">
        <v>410</v>
      </c>
      <c r="F121" s="27" t="s">
        <v>24</v>
      </c>
      <c r="G121" s="27" t="s">
        <v>29</v>
      </c>
    </row>
    <row r="122" spans="1:7" x14ac:dyDescent="0.25">
      <c r="A122" s="25">
        <v>44806.605000000003</v>
      </c>
      <c r="B122" s="1">
        <v>44809</v>
      </c>
      <c r="C122" s="27">
        <v>16153864</v>
      </c>
      <c r="D122" s="27" t="s">
        <v>14</v>
      </c>
      <c r="E122" s="27" t="s">
        <v>416</v>
      </c>
      <c r="F122" s="27" t="s">
        <v>17</v>
      </c>
      <c r="G122" s="27" t="s">
        <v>29</v>
      </c>
    </row>
    <row r="123" spans="1:7" x14ac:dyDescent="0.25">
      <c r="A123" s="25">
        <v>44806.605416666665</v>
      </c>
      <c r="B123" s="1">
        <v>44809</v>
      </c>
      <c r="C123" s="27">
        <v>16143814</v>
      </c>
      <c r="D123" s="27" t="s">
        <v>14</v>
      </c>
      <c r="E123" s="27" t="s">
        <v>447</v>
      </c>
      <c r="F123" s="27" t="s">
        <v>10</v>
      </c>
      <c r="G123" s="27" t="s">
        <v>29</v>
      </c>
    </row>
    <row r="124" spans="1:7" x14ac:dyDescent="0.25">
      <c r="A124" s="25">
        <v>44806.626747685186</v>
      </c>
      <c r="B124" s="1">
        <v>44809</v>
      </c>
      <c r="C124" s="27">
        <v>16154155</v>
      </c>
      <c r="D124" s="27" t="s">
        <v>11</v>
      </c>
      <c r="E124" s="27" t="s">
        <v>563</v>
      </c>
      <c r="F124" s="27" t="s">
        <v>24</v>
      </c>
      <c r="G124" s="27" t="s">
        <v>29</v>
      </c>
    </row>
    <row r="125" spans="1:7" x14ac:dyDescent="0.25">
      <c r="A125" s="25">
        <v>44809.377222222225</v>
      </c>
      <c r="B125" s="1">
        <v>44809</v>
      </c>
      <c r="C125" s="27">
        <v>16159309</v>
      </c>
      <c r="D125" s="27" t="s">
        <v>15</v>
      </c>
      <c r="E125" s="27" t="s">
        <v>678</v>
      </c>
      <c r="F125" s="27" t="s">
        <v>17</v>
      </c>
      <c r="G125" s="27" t="s">
        <v>29</v>
      </c>
    </row>
    <row r="126" spans="1:7" x14ac:dyDescent="0.25">
      <c r="A126" s="25">
        <v>44809.459282407406</v>
      </c>
      <c r="B126" s="1">
        <v>44809</v>
      </c>
      <c r="C126" s="27">
        <v>16160276</v>
      </c>
      <c r="D126" s="27" t="s">
        <v>11</v>
      </c>
      <c r="E126" s="27" t="s">
        <v>679</v>
      </c>
      <c r="F126" s="27" t="s">
        <v>17</v>
      </c>
      <c r="G126" s="27" t="s">
        <v>29</v>
      </c>
    </row>
    <row r="127" spans="1:7" x14ac:dyDescent="0.25">
      <c r="A127" s="25">
        <v>44809.571481481478</v>
      </c>
      <c r="B127" s="1">
        <v>44809</v>
      </c>
      <c r="C127" s="27">
        <v>16161141</v>
      </c>
      <c r="D127" s="27" t="s">
        <v>11</v>
      </c>
      <c r="E127" s="27" t="s">
        <v>680</v>
      </c>
      <c r="F127" s="27" t="s">
        <v>24</v>
      </c>
      <c r="G127" s="27" t="s">
        <v>29</v>
      </c>
    </row>
    <row r="128" spans="1:7" x14ac:dyDescent="0.25">
      <c r="A128" s="25">
        <v>44806.646192129629</v>
      </c>
      <c r="B128" s="1">
        <v>44809</v>
      </c>
      <c r="C128" s="27">
        <v>16153646</v>
      </c>
      <c r="D128" s="27" t="s">
        <v>11</v>
      </c>
      <c r="E128" s="27" t="s">
        <v>609</v>
      </c>
      <c r="F128" s="27" t="s">
        <v>10</v>
      </c>
      <c r="G128" s="27" t="s">
        <v>29</v>
      </c>
    </row>
    <row r="129" spans="1:7" x14ac:dyDescent="0.25">
      <c r="A129" s="25">
        <v>44809.346574074072</v>
      </c>
      <c r="B129" s="1">
        <v>44809</v>
      </c>
      <c r="C129" s="27">
        <v>16158778</v>
      </c>
      <c r="D129" s="27" t="s">
        <v>12</v>
      </c>
      <c r="E129" s="27" t="s">
        <v>681</v>
      </c>
      <c r="F129" s="27" t="s">
        <v>17</v>
      </c>
      <c r="G129" s="27" t="s">
        <v>29</v>
      </c>
    </row>
    <row r="130" spans="1:7" x14ac:dyDescent="0.25">
      <c r="A130" s="25">
        <v>44809.366898148146</v>
      </c>
      <c r="B130" s="1">
        <v>44809</v>
      </c>
      <c r="C130" s="27">
        <v>16158878</v>
      </c>
      <c r="D130" s="27" t="s">
        <v>15</v>
      </c>
      <c r="E130" s="27" t="s">
        <v>682</v>
      </c>
      <c r="F130" s="27" t="s">
        <v>10</v>
      </c>
      <c r="G130" s="27" t="s">
        <v>29</v>
      </c>
    </row>
    <row r="131" spans="1:7" x14ac:dyDescent="0.25">
      <c r="A131" s="25">
        <v>44806.597118055557</v>
      </c>
      <c r="B131" s="1">
        <v>44809</v>
      </c>
      <c r="C131" s="27">
        <v>16153779</v>
      </c>
      <c r="D131" s="27" t="s">
        <v>11</v>
      </c>
      <c r="E131" s="27" t="s">
        <v>562</v>
      </c>
      <c r="F131" s="27" t="s">
        <v>17</v>
      </c>
      <c r="G131" s="27" t="s">
        <v>29</v>
      </c>
    </row>
    <row r="132" spans="1:7" x14ac:dyDescent="0.25">
      <c r="A132" s="25">
        <v>44806.518576388888</v>
      </c>
      <c r="B132" s="1">
        <v>44809</v>
      </c>
      <c r="C132" s="27">
        <v>16152202</v>
      </c>
      <c r="D132" s="27" t="s">
        <v>7</v>
      </c>
      <c r="E132" s="27" t="s">
        <v>570</v>
      </c>
      <c r="F132" s="27"/>
      <c r="G132" s="27" t="s">
        <v>29</v>
      </c>
    </row>
    <row r="133" spans="1:7" x14ac:dyDescent="0.25">
      <c r="A133" s="25">
        <v>44806.536550925928</v>
      </c>
      <c r="B133" s="1">
        <v>44809</v>
      </c>
      <c r="C133" s="27">
        <v>16152855</v>
      </c>
      <c r="D133" s="27" t="s">
        <v>15</v>
      </c>
      <c r="E133" s="27" t="s">
        <v>568</v>
      </c>
      <c r="F133" s="27" t="s">
        <v>17</v>
      </c>
      <c r="G133" s="27" t="s">
        <v>29</v>
      </c>
    </row>
    <row r="134" spans="1:7" x14ac:dyDescent="0.25">
      <c r="A134" s="25">
        <v>44806.567719907405</v>
      </c>
      <c r="B134" s="1">
        <v>44809</v>
      </c>
      <c r="C134" s="27">
        <v>16153254</v>
      </c>
      <c r="D134" s="27" t="s">
        <v>7</v>
      </c>
      <c r="E134" s="27" t="s">
        <v>569</v>
      </c>
      <c r="F134" s="27" t="s">
        <v>24</v>
      </c>
      <c r="G134" s="27" t="s">
        <v>29</v>
      </c>
    </row>
    <row r="135" spans="1:7" x14ac:dyDescent="0.25">
      <c r="A135" s="25">
        <v>44806.409745370373</v>
      </c>
      <c r="B135" s="1">
        <v>44809</v>
      </c>
      <c r="C135" s="27">
        <v>16151707</v>
      </c>
      <c r="D135" s="27" t="s">
        <v>11</v>
      </c>
      <c r="E135" s="27" t="s">
        <v>438</v>
      </c>
      <c r="F135" s="27" t="s">
        <v>17</v>
      </c>
      <c r="G135" s="27" t="s">
        <v>29</v>
      </c>
    </row>
    <row r="136" spans="1:7" x14ac:dyDescent="0.25">
      <c r="A136" s="25">
        <v>44805.570219907408</v>
      </c>
      <c r="B136" s="1">
        <v>44809</v>
      </c>
      <c r="C136" s="27">
        <v>16147007</v>
      </c>
      <c r="D136" s="27" t="s">
        <v>46</v>
      </c>
      <c r="E136" s="27" t="s">
        <v>451</v>
      </c>
      <c r="F136" s="27" t="s">
        <v>17</v>
      </c>
      <c r="G136" s="27" t="s">
        <v>29</v>
      </c>
    </row>
    <row r="137" spans="1:7" x14ac:dyDescent="0.25">
      <c r="A137" s="25">
        <v>44805.573009259257</v>
      </c>
      <c r="B137" s="1">
        <v>44809</v>
      </c>
      <c r="C137" s="27">
        <v>16147026</v>
      </c>
      <c r="D137" s="27" t="s">
        <v>46</v>
      </c>
      <c r="E137" s="27" t="s">
        <v>450</v>
      </c>
      <c r="F137" s="27" t="s">
        <v>17</v>
      </c>
      <c r="G137" s="27" t="s">
        <v>29</v>
      </c>
    </row>
    <row r="138" spans="1:7" x14ac:dyDescent="0.25">
      <c r="A138" s="25">
        <v>44806.571157407408</v>
      </c>
      <c r="B138" s="1">
        <v>44809</v>
      </c>
      <c r="C138" s="27">
        <v>16153317</v>
      </c>
      <c r="D138" s="27" t="s">
        <v>11</v>
      </c>
      <c r="E138" s="27" t="s">
        <v>437</v>
      </c>
      <c r="F138" s="27" t="s">
        <v>17</v>
      </c>
      <c r="G138" s="27" t="s">
        <v>29</v>
      </c>
    </row>
    <row r="139" spans="1:7" x14ac:dyDescent="0.25">
      <c r="A139" s="25">
        <v>44806.578530092593</v>
      </c>
      <c r="B139" s="1">
        <v>44809</v>
      </c>
      <c r="C139" s="27">
        <v>16153059</v>
      </c>
      <c r="D139" s="27" t="s">
        <v>7</v>
      </c>
      <c r="E139" s="27" t="s">
        <v>572</v>
      </c>
      <c r="F139" s="27" t="s">
        <v>24</v>
      </c>
      <c r="G139" s="27" t="s">
        <v>29</v>
      </c>
    </row>
    <row r="140" spans="1:7" x14ac:dyDescent="0.25">
      <c r="A140" s="25">
        <v>44806.590937499997</v>
      </c>
      <c r="B140" s="1">
        <v>44809</v>
      </c>
      <c r="C140" s="27">
        <v>16153602</v>
      </c>
      <c r="D140" s="27" t="s">
        <v>11</v>
      </c>
      <c r="E140" s="27" t="s">
        <v>573</v>
      </c>
      <c r="F140" s="27" t="s">
        <v>24</v>
      </c>
      <c r="G140" s="27" t="s">
        <v>29</v>
      </c>
    </row>
    <row r="141" spans="1:7" x14ac:dyDescent="0.25">
      <c r="A141" s="25">
        <v>44806.591956018521</v>
      </c>
      <c r="B141" s="1">
        <v>44809</v>
      </c>
      <c r="C141" s="27">
        <v>16153694</v>
      </c>
      <c r="D141" s="27" t="s">
        <v>11</v>
      </c>
      <c r="E141" s="27" t="s">
        <v>405</v>
      </c>
      <c r="F141" s="27" t="s">
        <v>10</v>
      </c>
      <c r="G141" s="27" t="s">
        <v>29</v>
      </c>
    </row>
    <row r="142" spans="1:7" x14ac:dyDescent="0.25">
      <c r="A142" s="25">
        <v>44806.572453703702</v>
      </c>
      <c r="B142" s="1">
        <v>44809</v>
      </c>
      <c r="C142" s="27">
        <v>16153320</v>
      </c>
      <c r="D142" s="27" t="s">
        <v>7</v>
      </c>
      <c r="E142" s="27" t="s">
        <v>574</v>
      </c>
      <c r="F142" s="27"/>
      <c r="G142" s="27" t="s">
        <v>29</v>
      </c>
    </row>
    <row r="143" spans="1:7" x14ac:dyDescent="0.25">
      <c r="A143" s="25">
        <v>44806.576261574075</v>
      </c>
      <c r="B143" s="1">
        <v>44809</v>
      </c>
      <c r="C143" s="27">
        <v>16153390</v>
      </c>
      <c r="D143" s="27" t="s">
        <v>7</v>
      </c>
      <c r="E143" s="27" t="s">
        <v>575</v>
      </c>
      <c r="F143" s="27" t="s">
        <v>24</v>
      </c>
      <c r="G143" s="27" t="s">
        <v>29</v>
      </c>
    </row>
    <row r="144" spans="1:7" x14ac:dyDescent="0.25">
      <c r="A144" s="25">
        <v>44806.578009259261</v>
      </c>
      <c r="B144" s="1">
        <v>44809</v>
      </c>
      <c r="C144" s="27">
        <v>16153036</v>
      </c>
      <c r="D144" s="27" t="s">
        <v>7</v>
      </c>
      <c r="E144" s="27" t="s">
        <v>571</v>
      </c>
      <c r="F144" s="27"/>
      <c r="G144" s="27" t="s">
        <v>29</v>
      </c>
    </row>
    <row r="145" spans="1:7" x14ac:dyDescent="0.25">
      <c r="A145" s="25">
        <v>44809.575208333335</v>
      </c>
      <c r="B145" s="1">
        <v>44810</v>
      </c>
      <c r="C145" s="27">
        <v>16161190</v>
      </c>
      <c r="D145" s="27" t="s">
        <v>15</v>
      </c>
      <c r="E145" s="27" t="s">
        <v>568</v>
      </c>
      <c r="F145" s="27" t="s">
        <v>10</v>
      </c>
      <c r="G145" s="27" t="s">
        <v>29</v>
      </c>
    </row>
    <row r="146" spans="1:7" x14ac:dyDescent="0.25">
      <c r="A146" s="25">
        <v>44809.57439814815</v>
      </c>
      <c r="B146" s="1">
        <v>44810</v>
      </c>
      <c r="C146" s="27">
        <v>16161147</v>
      </c>
      <c r="D146" s="27" t="s">
        <v>12</v>
      </c>
      <c r="E146" s="27" t="s">
        <v>683</v>
      </c>
      <c r="F146" s="27" t="s">
        <v>10</v>
      </c>
      <c r="G146" s="27" t="s">
        <v>29</v>
      </c>
    </row>
    <row r="147" spans="1:7" x14ac:dyDescent="0.25">
      <c r="A147" s="25">
        <v>44809.446122685185</v>
      </c>
      <c r="B147" s="1">
        <v>44810</v>
      </c>
      <c r="C147" s="27">
        <v>16160152</v>
      </c>
      <c r="D147" s="27" t="s">
        <v>11</v>
      </c>
      <c r="E147" s="27" t="s">
        <v>684</v>
      </c>
      <c r="F147" s="27" t="s">
        <v>10</v>
      </c>
      <c r="G147" s="27" t="s">
        <v>29</v>
      </c>
    </row>
    <row r="148" spans="1:7" x14ac:dyDescent="0.25">
      <c r="A148" s="25">
        <v>44809.599988425929</v>
      </c>
      <c r="B148" s="1">
        <v>44810</v>
      </c>
      <c r="C148" s="27">
        <v>16161482</v>
      </c>
      <c r="D148" s="27" t="s">
        <v>14</v>
      </c>
      <c r="E148" s="27" t="s">
        <v>447</v>
      </c>
      <c r="F148" s="27" t="s">
        <v>10</v>
      </c>
      <c r="G148" s="27" t="s">
        <v>29</v>
      </c>
    </row>
    <row r="149" spans="1:7" x14ac:dyDescent="0.25">
      <c r="A149" s="25">
        <v>44809.599675925929</v>
      </c>
      <c r="B149" s="1">
        <v>44810</v>
      </c>
      <c r="C149" s="27">
        <v>16161470</v>
      </c>
      <c r="D149" s="27" t="s">
        <v>14</v>
      </c>
      <c r="E149" s="27" t="s">
        <v>410</v>
      </c>
      <c r="F149" s="27" t="s">
        <v>10</v>
      </c>
      <c r="G149" s="27" t="s">
        <v>29</v>
      </c>
    </row>
    <row r="150" spans="1:7" x14ac:dyDescent="0.25">
      <c r="A150" s="25">
        <v>44809.599386574075</v>
      </c>
      <c r="B150" s="1">
        <v>44810</v>
      </c>
      <c r="C150" s="27">
        <v>16161460</v>
      </c>
      <c r="D150" s="27" t="s">
        <v>14</v>
      </c>
      <c r="E150" s="27" t="s">
        <v>685</v>
      </c>
      <c r="F150" s="27" t="s">
        <v>10</v>
      </c>
      <c r="G150" s="27" t="s">
        <v>29</v>
      </c>
    </row>
    <row r="151" spans="1:7" x14ac:dyDescent="0.25">
      <c r="A151" s="25">
        <v>44809.444479166668</v>
      </c>
      <c r="B151" s="1">
        <v>44810</v>
      </c>
      <c r="C151" s="27">
        <v>16160131</v>
      </c>
      <c r="D151" s="27" t="s">
        <v>11</v>
      </c>
      <c r="E151" s="27" t="s">
        <v>686</v>
      </c>
      <c r="F151" s="27" t="s">
        <v>10</v>
      </c>
      <c r="G151" s="27" t="s">
        <v>29</v>
      </c>
    </row>
    <row r="152" spans="1:7" x14ac:dyDescent="0.25">
      <c r="A152" s="25">
        <v>44809.38040509259</v>
      </c>
      <c r="B152" s="1">
        <v>44810</v>
      </c>
      <c r="C152" s="27">
        <v>16159374</v>
      </c>
      <c r="D152" s="27" t="s">
        <v>11</v>
      </c>
      <c r="E152" s="27" t="s">
        <v>437</v>
      </c>
      <c r="F152" s="27" t="s">
        <v>10</v>
      </c>
      <c r="G152" s="27" t="s">
        <v>29</v>
      </c>
    </row>
    <row r="153" spans="1:7" x14ac:dyDescent="0.25">
      <c r="A153" s="25">
        <v>44805.570810185185</v>
      </c>
      <c r="B153" s="1">
        <v>44810</v>
      </c>
      <c r="C153" s="27">
        <v>16147017</v>
      </c>
      <c r="D153" s="27" t="s">
        <v>46</v>
      </c>
      <c r="E153" s="27" t="s">
        <v>451</v>
      </c>
      <c r="F153" s="27" t="s">
        <v>24</v>
      </c>
      <c r="G153" s="27" t="s">
        <v>29</v>
      </c>
    </row>
    <row r="154" spans="1:7" x14ac:dyDescent="0.25">
      <c r="A154" s="25">
        <v>44806.627372685187</v>
      </c>
      <c r="B154" s="1">
        <v>44810</v>
      </c>
      <c r="C154" s="27">
        <v>16159345</v>
      </c>
      <c r="D154" s="27" t="s">
        <v>14</v>
      </c>
      <c r="E154" s="27" t="s">
        <v>564</v>
      </c>
      <c r="F154" s="27" t="s">
        <v>10</v>
      </c>
      <c r="G154" s="27" t="s">
        <v>29</v>
      </c>
    </row>
    <row r="155" spans="1:7" x14ac:dyDescent="0.25">
      <c r="A155" s="25">
        <v>44809.443055555559</v>
      </c>
      <c r="B155" s="1">
        <v>44810</v>
      </c>
      <c r="C155" s="27">
        <v>16160111</v>
      </c>
      <c r="D155" s="27" t="s">
        <v>11</v>
      </c>
      <c r="E155" s="27" t="s">
        <v>687</v>
      </c>
      <c r="F155" s="27" t="s">
        <v>10</v>
      </c>
      <c r="G155" s="27" t="s">
        <v>29</v>
      </c>
    </row>
    <row r="156" spans="1:7" x14ac:dyDescent="0.25">
      <c r="A156" s="25">
        <v>44809.397916666669</v>
      </c>
      <c r="B156" s="1">
        <v>44810</v>
      </c>
      <c r="C156" s="27">
        <v>16159628</v>
      </c>
      <c r="D156" s="27" t="s">
        <v>11</v>
      </c>
      <c r="E156" s="27" t="s">
        <v>436</v>
      </c>
      <c r="F156" s="27" t="s">
        <v>10</v>
      </c>
      <c r="G156" s="27" t="s">
        <v>29</v>
      </c>
    </row>
    <row r="157" spans="1:7" x14ac:dyDescent="0.25">
      <c r="A157" s="25">
        <v>44809.382361111115</v>
      </c>
      <c r="B157" s="1">
        <v>44810</v>
      </c>
      <c r="C157" s="27">
        <v>16159424</v>
      </c>
      <c r="D157" s="27" t="s">
        <v>14</v>
      </c>
      <c r="E157" s="27" t="s">
        <v>688</v>
      </c>
      <c r="F157" s="27" t="s">
        <v>10</v>
      </c>
      <c r="G157" s="27" t="s">
        <v>29</v>
      </c>
    </row>
    <row r="158" spans="1:7" x14ac:dyDescent="0.25">
      <c r="A158" s="25">
        <v>44809.46775462963</v>
      </c>
      <c r="B158" s="1">
        <v>44811</v>
      </c>
      <c r="C158" s="27">
        <v>16160163</v>
      </c>
      <c r="D158" s="27" t="s">
        <v>46</v>
      </c>
      <c r="E158" s="27" t="s">
        <v>689</v>
      </c>
      <c r="F158" s="27" t="s">
        <v>10</v>
      </c>
      <c r="G158" s="27" t="s">
        <v>29</v>
      </c>
    </row>
    <row r="159" spans="1:7" x14ac:dyDescent="0.25">
      <c r="A159" s="25">
        <v>44809.386689814812</v>
      </c>
      <c r="B159" s="1">
        <v>44811</v>
      </c>
      <c r="C159" s="27">
        <v>16159488</v>
      </c>
      <c r="D159" s="27" t="s">
        <v>11</v>
      </c>
      <c r="E159" s="27" t="s">
        <v>424</v>
      </c>
      <c r="F159" s="27" t="s">
        <v>10</v>
      </c>
      <c r="G159" s="27" t="s">
        <v>29</v>
      </c>
    </row>
    <row r="160" spans="1:7" x14ac:dyDescent="0.25">
      <c r="A160" s="25">
        <v>44809.458425925928</v>
      </c>
      <c r="B160" s="1">
        <v>44812</v>
      </c>
      <c r="C160" s="27">
        <v>16160184</v>
      </c>
      <c r="D160" s="27" t="s">
        <v>46</v>
      </c>
      <c r="E160" s="27" t="s">
        <v>451</v>
      </c>
      <c r="F160" s="27" t="s">
        <v>10</v>
      </c>
      <c r="G160" s="27" t="s">
        <v>29</v>
      </c>
    </row>
    <row r="161" spans="1:7" x14ac:dyDescent="0.25">
      <c r="A161" s="25">
        <v>44809.468356481484</v>
      </c>
      <c r="B161" s="1">
        <v>44812</v>
      </c>
      <c r="C161" s="27">
        <v>16160171</v>
      </c>
      <c r="D161" s="27" t="s">
        <v>46</v>
      </c>
      <c r="E161" s="27" t="s">
        <v>689</v>
      </c>
      <c r="F161" s="27" t="s">
        <v>10</v>
      </c>
      <c r="G161" s="27" t="s">
        <v>29</v>
      </c>
    </row>
    <row r="162" spans="1:7" x14ac:dyDescent="0.25">
      <c r="A162" s="25">
        <v>44806.652187500003</v>
      </c>
      <c r="B162" s="1">
        <v>44812</v>
      </c>
      <c r="C162" s="27">
        <v>16154611</v>
      </c>
      <c r="D162" s="27" t="s">
        <v>7</v>
      </c>
      <c r="E162" s="27" t="s">
        <v>611</v>
      </c>
      <c r="F162" s="27"/>
      <c r="G162" s="27" t="s">
        <v>29</v>
      </c>
    </row>
    <row r="163" spans="1:7" x14ac:dyDescent="0.25">
      <c r="A163" s="25">
        <v>44806.652662037035</v>
      </c>
      <c r="B163" s="1">
        <v>44812</v>
      </c>
      <c r="C163" s="27">
        <v>16154777</v>
      </c>
      <c r="D163" s="27" t="s">
        <v>7</v>
      </c>
      <c r="E163" s="27" t="s">
        <v>610</v>
      </c>
      <c r="F163" s="27"/>
      <c r="G163" s="27" t="s">
        <v>29</v>
      </c>
    </row>
    <row r="164" spans="1:7" x14ac:dyDescent="0.25">
      <c r="A164" s="25">
        <v>44809.4687962963</v>
      </c>
      <c r="B164" s="1">
        <v>44813</v>
      </c>
      <c r="C164" s="27">
        <v>16160179</v>
      </c>
      <c r="D164" s="27" t="s">
        <v>46</v>
      </c>
      <c r="E164" s="27" t="s">
        <v>689</v>
      </c>
      <c r="F164" s="27" t="s">
        <v>10</v>
      </c>
      <c r="G164" s="27" t="s">
        <v>29</v>
      </c>
    </row>
    <row r="165" spans="1:7" x14ac:dyDescent="0.25">
      <c r="A165" s="25">
        <v>44809.466157407405</v>
      </c>
      <c r="B165" s="1">
        <v>44813</v>
      </c>
      <c r="C165" s="27">
        <v>16160197</v>
      </c>
      <c r="D165" s="27" t="s">
        <v>46</v>
      </c>
      <c r="E165" s="27" t="s">
        <v>451</v>
      </c>
      <c r="F165" s="27" t="s">
        <v>10</v>
      </c>
      <c r="G165" s="27" t="s">
        <v>29</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78BBD-7A0C-4946-8620-61108575D0E1}">
  <sheetPr codeName="Planilha3"/>
  <dimension ref="A1:H160"/>
  <sheetViews>
    <sheetView workbookViewId="0">
      <selection sqref="A1:H237"/>
    </sheetView>
  </sheetViews>
  <sheetFormatPr defaultRowHeight="15" x14ac:dyDescent="0.25"/>
  <cols>
    <col min="1" max="1" width="22.140625" bestFit="1" customWidth="1"/>
    <col min="2" max="2" width="9" bestFit="1" customWidth="1"/>
    <col min="3" max="3" width="32.42578125" bestFit="1" customWidth="1"/>
    <col min="4" max="4" width="18" bestFit="1" customWidth="1"/>
    <col min="5" max="5" width="81.140625" bestFit="1" customWidth="1"/>
    <col min="6" max="6" width="29" bestFit="1" customWidth="1"/>
    <col min="7" max="7" width="20.5703125" bestFit="1" customWidth="1"/>
    <col min="8" max="8" width="8.85546875" customWidth="1"/>
  </cols>
  <sheetData>
    <row r="1" spans="1:8" x14ac:dyDescent="0.25">
      <c r="A1" t="s">
        <v>0</v>
      </c>
      <c r="B1" t="s">
        <v>1</v>
      </c>
      <c r="C1" t="s">
        <v>56</v>
      </c>
      <c r="D1" t="s">
        <v>2</v>
      </c>
      <c r="E1" t="s">
        <v>3</v>
      </c>
      <c r="F1" t="s">
        <v>4</v>
      </c>
      <c r="G1" t="s">
        <v>6</v>
      </c>
      <c r="H1" t="s">
        <v>5</v>
      </c>
    </row>
    <row r="2" spans="1:8" x14ac:dyDescent="0.25">
      <c r="A2" s="1">
        <v>44812</v>
      </c>
      <c r="B2">
        <v>16153100</v>
      </c>
      <c r="D2" s="27" t="s">
        <v>7</v>
      </c>
      <c r="E2" s="27" t="s">
        <v>507</v>
      </c>
      <c r="F2" s="27"/>
      <c r="G2" s="25">
        <v>44806.578969907408</v>
      </c>
      <c r="H2" s="27" t="s">
        <v>30</v>
      </c>
    </row>
    <row r="3" spans="1:8" x14ac:dyDescent="0.25">
      <c r="A3" s="1">
        <v>44812</v>
      </c>
      <c r="B3">
        <v>16154654</v>
      </c>
      <c r="D3" s="27" t="s">
        <v>7</v>
      </c>
      <c r="E3" s="27" t="s">
        <v>603</v>
      </c>
      <c r="F3" s="27" t="s">
        <v>18</v>
      </c>
      <c r="G3" s="25">
        <v>44806.653900462959</v>
      </c>
      <c r="H3" s="27" t="s">
        <v>30</v>
      </c>
    </row>
    <row r="4" spans="1:8" x14ac:dyDescent="0.25">
      <c r="A4" s="1">
        <v>44812</v>
      </c>
      <c r="B4">
        <v>16154715</v>
      </c>
      <c r="D4" s="27" t="s">
        <v>7</v>
      </c>
      <c r="E4" s="27" t="s">
        <v>604</v>
      </c>
      <c r="F4" s="27" t="s">
        <v>18</v>
      </c>
      <c r="G4" s="25">
        <v>44806.654479166667</v>
      </c>
      <c r="H4" s="27" t="s">
        <v>30</v>
      </c>
    </row>
    <row r="5" spans="1:8" x14ac:dyDescent="0.25">
      <c r="A5" s="1">
        <v>44812</v>
      </c>
      <c r="B5">
        <v>16154680</v>
      </c>
      <c r="D5" s="27" t="s">
        <v>7</v>
      </c>
      <c r="E5" s="27" t="s">
        <v>605</v>
      </c>
      <c r="F5" s="27" t="s">
        <v>18</v>
      </c>
      <c r="G5" s="25">
        <v>44806.654861111114</v>
      </c>
      <c r="H5" s="27" t="s">
        <v>30</v>
      </c>
    </row>
    <row r="6" spans="1:8" x14ac:dyDescent="0.25">
      <c r="A6" s="1">
        <v>44812</v>
      </c>
      <c r="B6">
        <v>16154756</v>
      </c>
      <c r="D6" s="27" t="s">
        <v>7</v>
      </c>
      <c r="E6" s="27" t="s">
        <v>606</v>
      </c>
      <c r="F6" s="27" t="s">
        <v>18</v>
      </c>
      <c r="G6" s="25">
        <v>44806.655474537038</v>
      </c>
      <c r="H6" s="27" t="s">
        <v>30</v>
      </c>
    </row>
    <row r="7" spans="1:8" x14ac:dyDescent="0.25">
      <c r="A7" s="1">
        <v>44812</v>
      </c>
      <c r="B7">
        <v>16158700</v>
      </c>
      <c r="D7" s="27" t="s">
        <v>9</v>
      </c>
      <c r="E7" s="27" t="s">
        <v>45</v>
      </c>
      <c r="F7" s="27"/>
      <c r="G7" s="25">
        <v>44809.409872685188</v>
      </c>
      <c r="H7" s="27" t="s">
        <v>30</v>
      </c>
    </row>
    <row r="8" spans="1:8" x14ac:dyDescent="0.25">
      <c r="A8" s="1">
        <v>44812</v>
      </c>
      <c r="B8">
        <v>16153783</v>
      </c>
      <c r="D8" s="27" t="s">
        <v>7</v>
      </c>
      <c r="E8" s="27" t="s">
        <v>529</v>
      </c>
      <c r="F8" s="27"/>
      <c r="G8" s="25">
        <v>44806.615497685183</v>
      </c>
      <c r="H8" s="27" t="s">
        <v>30</v>
      </c>
    </row>
    <row r="9" spans="1:8" x14ac:dyDescent="0.25">
      <c r="A9" s="1">
        <v>44812</v>
      </c>
      <c r="B9">
        <v>16153886</v>
      </c>
      <c r="D9" s="27" t="s">
        <v>7</v>
      </c>
      <c r="E9" s="27" t="s">
        <v>531</v>
      </c>
      <c r="F9" s="27"/>
      <c r="G9" s="25">
        <v>44806.616122685184</v>
      </c>
      <c r="H9" s="27" t="s">
        <v>30</v>
      </c>
    </row>
    <row r="10" spans="1:8" x14ac:dyDescent="0.25">
      <c r="A10" s="1">
        <v>44812</v>
      </c>
      <c r="B10">
        <v>16153946</v>
      </c>
      <c r="D10" s="27" t="s">
        <v>7</v>
      </c>
      <c r="E10" s="27" t="s">
        <v>532</v>
      </c>
      <c r="F10" s="27"/>
      <c r="G10" s="25">
        <v>44806.616527777776</v>
      </c>
      <c r="H10" s="27" t="s">
        <v>30</v>
      </c>
    </row>
    <row r="11" spans="1:8" x14ac:dyDescent="0.25">
      <c r="A11" s="1">
        <v>44812</v>
      </c>
      <c r="B11">
        <v>16153985</v>
      </c>
      <c r="D11" s="27" t="s">
        <v>7</v>
      </c>
      <c r="E11" s="27" t="s">
        <v>533</v>
      </c>
      <c r="F11" s="27"/>
      <c r="G11" s="25">
        <v>44806.617013888892</v>
      </c>
      <c r="H11" s="27" t="s">
        <v>30</v>
      </c>
    </row>
    <row r="12" spans="1:8" x14ac:dyDescent="0.25">
      <c r="A12" s="1">
        <v>44812</v>
      </c>
      <c r="B12">
        <v>16153982</v>
      </c>
      <c r="D12" s="27" t="s">
        <v>7</v>
      </c>
      <c r="E12" s="27" t="s">
        <v>526</v>
      </c>
      <c r="F12" s="27" t="s">
        <v>18</v>
      </c>
      <c r="G12" s="25">
        <v>44806.608113425929</v>
      </c>
      <c r="H12" s="27" t="s">
        <v>30</v>
      </c>
    </row>
    <row r="13" spans="1:8" x14ac:dyDescent="0.25">
      <c r="A13" s="1">
        <v>44812</v>
      </c>
      <c r="B13">
        <v>16154579</v>
      </c>
      <c r="D13" s="27" t="s">
        <v>7</v>
      </c>
      <c r="E13" s="27" t="s">
        <v>602</v>
      </c>
      <c r="F13" s="27"/>
      <c r="G13" s="25">
        <v>44806.639363425929</v>
      </c>
      <c r="H13" s="27" t="s">
        <v>30</v>
      </c>
    </row>
    <row r="14" spans="1:8" x14ac:dyDescent="0.25">
      <c r="A14" s="1">
        <v>44810</v>
      </c>
      <c r="B14">
        <v>16154100</v>
      </c>
      <c r="D14" s="27" t="s">
        <v>7</v>
      </c>
      <c r="E14" s="27" t="s">
        <v>535</v>
      </c>
      <c r="F14" s="27"/>
      <c r="G14" s="25">
        <v>44806.617430555554</v>
      </c>
      <c r="H14" s="27" t="s">
        <v>30</v>
      </c>
    </row>
    <row r="15" spans="1:8" x14ac:dyDescent="0.25">
      <c r="A15" s="1">
        <v>44810</v>
      </c>
      <c r="B15">
        <v>16154129</v>
      </c>
      <c r="D15" s="27" t="s">
        <v>7</v>
      </c>
      <c r="E15" s="27" t="s">
        <v>536</v>
      </c>
      <c r="F15" s="27"/>
      <c r="G15" s="25">
        <v>44806.618020833332</v>
      </c>
      <c r="H15" s="27" t="s">
        <v>30</v>
      </c>
    </row>
    <row r="16" spans="1:8" x14ac:dyDescent="0.25">
      <c r="A16" s="1">
        <v>44810</v>
      </c>
      <c r="B16">
        <v>16154169</v>
      </c>
      <c r="D16" s="27" t="s">
        <v>12</v>
      </c>
      <c r="E16" s="27" t="s">
        <v>538</v>
      </c>
      <c r="F16" s="27"/>
      <c r="G16" s="25">
        <v>44806.621168981481</v>
      </c>
      <c r="H16" s="27" t="s">
        <v>30</v>
      </c>
    </row>
    <row r="17" spans="1:8" x14ac:dyDescent="0.25">
      <c r="A17" s="1">
        <v>44810</v>
      </c>
      <c r="B17">
        <v>16154196</v>
      </c>
      <c r="D17" s="27" t="s">
        <v>12</v>
      </c>
      <c r="E17" s="27" t="s">
        <v>539</v>
      </c>
      <c r="F17" s="27" t="s">
        <v>10</v>
      </c>
      <c r="G17" s="25">
        <v>44806.621469907404</v>
      </c>
      <c r="H17" s="27" t="s">
        <v>30</v>
      </c>
    </row>
    <row r="18" spans="1:8" x14ac:dyDescent="0.25">
      <c r="A18" s="1">
        <v>44810</v>
      </c>
      <c r="B18">
        <v>16154215</v>
      </c>
      <c r="D18" s="27" t="s">
        <v>12</v>
      </c>
      <c r="E18" s="27" t="s">
        <v>540</v>
      </c>
      <c r="F18" s="27"/>
      <c r="G18" s="25">
        <v>44806.621863425928</v>
      </c>
      <c r="H18" s="27" t="s">
        <v>30</v>
      </c>
    </row>
    <row r="19" spans="1:8" x14ac:dyDescent="0.25">
      <c r="A19" s="1">
        <v>44810</v>
      </c>
      <c r="B19">
        <v>16154238</v>
      </c>
      <c r="D19" s="27" t="s">
        <v>12</v>
      </c>
      <c r="E19" s="27" t="s">
        <v>541</v>
      </c>
      <c r="F19" s="27"/>
      <c r="G19" s="25">
        <v>44806.622199074074</v>
      </c>
      <c r="H19" s="27" t="s">
        <v>30</v>
      </c>
    </row>
    <row r="20" spans="1:8" x14ac:dyDescent="0.25">
      <c r="A20" s="1">
        <v>44810</v>
      </c>
      <c r="B20">
        <v>16154257</v>
      </c>
      <c r="D20" s="27" t="s">
        <v>12</v>
      </c>
      <c r="E20" s="27" t="s">
        <v>542</v>
      </c>
      <c r="F20" s="27"/>
      <c r="G20" s="25">
        <v>44806.622488425928</v>
      </c>
      <c r="H20" s="27" t="s">
        <v>30</v>
      </c>
    </row>
    <row r="21" spans="1:8" x14ac:dyDescent="0.25">
      <c r="A21" s="1">
        <v>44810</v>
      </c>
      <c r="B21">
        <v>16154019</v>
      </c>
      <c r="D21" s="27" t="s">
        <v>7</v>
      </c>
      <c r="E21" s="27" t="s">
        <v>527</v>
      </c>
      <c r="F21" s="27"/>
      <c r="G21" s="25">
        <v>44806.611296296294</v>
      </c>
      <c r="H21" s="27" t="s">
        <v>30</v>
      </c>
    </row>
    <row r="22" spans="1:8" x14ac:dyDescent="0.25">
      <c r="A22" s="1">
        <v>44810</v>
      </c>
      <c r="B22">
        <v>16154085</v>
      </c>
      <c r="D22" s="27" t="s">
        <v>7</v>
      </c>
      <c r="E22" s="27" t="s">
        <v>530</v>
      </c>
      <c r="F22" s="27"/>
      <c r="G22" s="25">
        <v>44806.615497685183</v>
      </c>
      <c r="H22" s="27" t="s">
        <v>30</v>
      </c>
    </row>
    <row r="23" spans="1:8" x14ac:dyDescent="0.25">
      <c r="A23" s="1">
        <v>44810</v>
      </c>
      <c r="B23">
        <v>16161299</v>
      </c>
      <c r="D23" s="27" t="s">
        <v>14</v>
      </c>
      <c r="E23" s="27" t="s">
        <v>636</v>
      </c>
      <c r="F23" s="27"/>
      <c r="G23" s="25">
        <v>44809.582546296297</v>
      </c>
      <c r="H23" s="27" t="s">
        <v>30</v>
      </c>
    </row>
    <row r="24" spans="1:8" x14ac:dyDescent="0.25">
      <c r="A24" s="1">
        <v>44810</v>
      </c>
      <c r="B24">
        <v>16161388</v>
      </c>
      <c r="D24" s="27" t="s">
        <v>12</v>
      </c>
      <c r="E24" s="27" t="s">
        <v>637</v>
      </c>
      <c r="F24" s="27"/>
      <c r="G24" s="25">
        <v>44809.590925925928</v>
      </c>
      <c r="H24" s="27" t="s">
        <v>30</v>
      </c>
    </row>
    <row r="25" spans="1:8" x14ac:dyDescent="0.25">
      <c r="A25" s="1">
        <v>44810</v>
      </c>
      <c r="B25">
        <v>16161391</v>
      </c>
      <c r="D25" s="27" t="s">
        <v>12</v>
      </c>
      <c r="E25" s="27" t="s">
        <v>214</v>
      </c>
      <c r="F25" s="27" t="s">
        <v>10</v>
      </c>
      <c r="G25" s="25">
        <v>44809.591273148151</v>
      </c>
      <c r="H25" s="27" t="s">
        <v>30</v>
      </c>
    </row>
    <row r="26" spans="1:8" x14ac:dyDescent="0.25">
      <c r="A26" s="1">
        <v>44810</v>
      </c>
      <c r="B26">
        <v>16161691</v>
      </c>
      <c r="D26" s="27" t="s">
        <v>14</v>
      </c>
      <c r="E26" s="27" t="s">
        <v>638</v>
      </c>
      <c r="F26" s="27"/>
      <c r="G26" s="25">
        <v>44809.615057870367</v>
      </c>
      <c r="H26" s="27" t="s">
        <v>30</v>
      </c>
    </row>
    <row r="27" spans="1:8" x14ac:dyDescent="0.25">
      <c r="A27" s="1">
        <v>44810</v>
      </c>
      <c r="B27">
        <v>16161736</v>
      </c>
      <c r="D27" s="27" t="s">
        <v>14</v>
      </c>
      <c r="E27" s="27" t="s">
        <v>639</v>
      </c>
      <c r="F27" s="27"/>
      <c r="G27" s="25">
        <v>44809.620219907411</v>
      </c>
      <c r="H27" s="27" t="s">
        <v>30</v>
      </c>
    </row>
    <row r="28" spans="1:8" x14ac:dyDescent="0.25">
      <c r="A28" s="1">
        <v>44810</v>
      </c>
      <c r="B28">
        <v>16161787</v>
      </c>
      <c r="D28" s="27" t="s">
        <v>14</v>
      </c>
      <c r="E28" s="27" t="s">
        <v>640</v>
      </c>
      <c r="F28" s="27"/>
      <c r="G28" s="25">
        <v>44809.625208333331</v>
      </c>
      <c r="H28" s="27" t="s">
        <v>30</v>
      </c>
    </row>
    <row r="29" spans="1:8" x14ac:dyDescent="0.25">
      <c r="A29" s="1">
        <v>44810</v>
      </c>
      <c r="B29">
        <v>16161841</v>
      </c>
      <c r="D29" s="27" t="s">
        <v>14</v>
      </c>
      <c r="E29" s="27" t="s">
        <v>641</v>
      </c>
      <c r="F29" s="27"/>
      <c r="G29" s="25">
        <v>44809.628553240742</v>
      </c>
      <c r="H29" s="27" t="s">
        <v>30</v>
      </c>
    </row>
    <row r="30" spans="1:8" x14ac:dyDescent="0.25">
      <c r="A30" s="1">
        <v>44809</v>
      </c>
      <c r="B30">
        <v>16153606</v>
      </c>
      <c r="D30" s="27" t="s">
        <v>12</v>
      </c>
      <c r="E30" s="27" t="s">
        <v>508</v>
      </c>
      <c r="F30" s="27" t="s">
        <v>18</v>
      </c>
      <c r="G30" s="25">
        <v>44806.599282407406</v>
      </c>
      <c r="H30" s="27" t="s">
        <v>30</v>
      </c>
    </row>
    <row r="31" spans="1:8" x14ac:dyDescent="0.25">
      <c r="A31" s="1">
        <v>44809</v>
      </c>
      <c r="B31">
        <v>16151445</v>
      </c>
      <c r="D31" s="27" t="s">
        <v>9</v>
      </c>
      <c r="E31" s="27" t="s">
        <v>288</v>
      </c>
      <c r="F31" s="27" t="s">
        <v>10</v>
      </c>
      <c r="G31" s="25">
        <v>44806.389247685183</v>
      </c>
      <c r="H31" s="27" t="s">
        <v>30</v>
      </c>
    </row>
    <row r="32" spans="1:8" x14ac:dyDescent="0.25">
      <c r="A32" s="1">
        <v>44809</v>
      </c>
      <c r="B32">
        <v>16152241</v>
      </c>
      <c r="D32" s="27" t="s">
        <v>7</v>
      </c>
      <c r="E32" s="27" t="s">
        <v>509</v>
      </c>
      <c r="F32" s="27" t="s">
        <v>10</v>
      </c>
      <c r="G32" s="25">
        <v>44806.520335648151</v>
      </c>
      <c r="H32" s="27" t="s">
        <v>30</v>
      </c>
    </row>
    <row r="33" spans="1:8" x14ac:dyDescent="0.25">
      <c r="A33" s="1">
        <v>44809</v>
      </c>
      <c r="B33">
        <v>16153126</v>
      </c>
      <c r="D33" s="27" t="s">
        <v>7</v>
      </c>
      <c r="E33" s="27" t="s">
        <v>510</v>
      </c>
      <c r="F33" s="27" t="s">
        <v>28</v>
      </c>
      <c r="G33" s="25">
        <v>44806.579629629632</v>
      </c>
      <c r="H33" s="27" t="s">
        <v>30</v>
      </c>
    </row>
    <row r="34" spans="1:8" x14ac:dyDescent="0.25">
      <c r="A34" s="1">
        <v>44809</v>
      </c>
      <c r="B34">
        <v>16153878</v>
      </c>
      <c r="D34" s="27" t="s">
        <v>15</v>
      </c>
      <c r="E34" s="27" t="s">
        <v>514</v>
      </c>
      <c r="F34" s="27" t="s">
        <v>10</v>
      </c>
      <c r="G34" s="25">
        <v>44806.602222222224</v>
      </c>
      <c r="H34" s="27" t="s">
        <v>30</v>
      </c>
    </row>
    <row r="35" spans="1:8" x14ac:dyDescent="0.25">
      <c r="A35" s="1">
        <v>44809</v>
      </c>
      <c r="B35">
        <v>16153456</v>
      </c>
      <c r="D35" s="27" t="s">
        <v>12</v>
      </c>
      <c r="E35" s="27" t="s">
        <v>511</v>
      </c>
      <c r="F35" s="27" t="s">
        <v>17</v>
      </c>
      <c r="G35" s="25">
        <v>44806.594375000001</v>
      </c>
      <c r="H35" s="27" t="s">
        <v>30</v>
      </c>
    </row>
    <row r="36" spans="1:8" x14ac:dyDescent="0.25">
      <c r="A36" s="1">
        <v>44809</v>
      </c>
      <c r="B36">
        <v>16153508</v>
      </c>
      <c r="D36" s="27" t="s">
        <v>12</v>
      </c>
      <c r="E36" s="27" t="s">
        <v>512</v>
      </c>
      <c r="F36" s="27" t="s">
        <v>10</v>
      </c>
      <c r="G36" s="25">
        <v>44806.595381944448</v>
      </c>
      <c r="H36" s="27" t="s">
        <v>30</v>
      </c>
    </row>
    <row r="37" spans="1:8" x14ac:dyDescent="0.25">
      <c r="A37" s="1">
        <v>44809</v>
      </c>
      <c r="B37">
        <v>16153577</v>
      </c>
      <c r="D37" s="27" t="s">
        <v>12</v>
      </c>
      <c r="E37" s="27" t="s">
        <v>214</v>
      </c>
      <c r="F37" s="27" t="s">
        <v>10</v>
      </c>
      <c r="G37" s="25">
        <v>44806.597210648149</v>
      </c>
      <c r="H37" s="27" t="s">
        <v>30</v>
      </c>
    </row>
    <row r="38" spans="1:8" x14ac:dyDescent="0.25">
      <c r="A38" s="1">
        <v>44809</v>
      </c>
      <c r="B38">
        <v>16153651</v>
      </c>
      <c r="D38" s="27" t="s">
        <v>12</v>
      </c>
      <c r="E38" s="27" t="s">
        <v>513</v>
      </c>
      <c r="F38" s="27" t="s">
        <v>17</v>
      </c>
      <c r="G38" s="25">
        <v>44806.599560185183</v>
      </c>
      <c r="H38" s="27" t="s">
        <v>30</v>
      </c>
    </row>
    <row r="39" spans="1:8" x14ac:dyDescent="0.25">
      <c r="A39" s="1">
        <v>44809</v>
      </c>
      <c r="B39">
        <v>16153984</v>
      </c>
      <c r="D39" s="27" t="s">
        <v>15</v>
      </c>
      <c r="E39" s="27" t="s">
        <v>525</v>
      </c>
      <c r="F39" s="27" t="s">
        <v>10</v>
      </c>
      <c r="G39" s="25">
        <v>44806.607673611114</v>
      </c>
      <c r="H39" s="27" t="s">
        <v>30</v>
      </c>
    </row>
    <row r="40" spans="1:8" x14ac:dyDescent="0.25">
      <c r="A40" s="1">
        <v>44809</v>
      </c>
      <c r="B40">
        <v>16158168</v>
      </c>
      <c r="D40" s="27" t="s">
        <v>14</v>
      </c>
      <c r="E40" s="27" t="s">
        <v>642</v>
      </c>
      <c r="F40" s="27"/>
      <c r="G40" s="25">
        <v>44809.151886574073</v>
      </c>
      <c r="H40" s="27" t="s">
        <v>30</v>
      </c>
    </row>
    <row r="41" spans="1:8" x14ac:dyDescent="0.25">
      <c r="A41" s="1">
        <v>44809</v>
      </c>
      <c r="B41">
        <v>16161321</v>
      </c>
      <c r="D41" s="27" t="s">
        <v>11</v>
      </c>
      <c r="E41" s="27" t="s">
        <v>643</v>
      </c>
      <c r="F41" s="27"/>
      <c r="G41" s="25">
        <v>44809.584317129629</v>
      </c>
      <c r="H41" s="27" t="s">
        <v>30</v>
      </c>
    </row>
    <row r="42" spans="1:8" x14ac:dyDescent="0.25">
      <c r="A42" s="1">
        <v>44809</v>
      </c>
      <c r="B42">
        <v>16161367</v>
      </c>
      <c r="D42" s="27" t="s">
        <v>11</v>
      </c>
      <c r="E42" s="27" t="s">
        <v>644</v>
      </c>
      <c r="F42" s="27"/>
      <c r="G42" s="25">
        <v>44809.587777777779</v>
      </c>
      <c r="H42" s="27" t="s">
        <v>30</v>
      </c>
    </row>
    <row r="43" spans="1:8" x14ac:dyDescent="0.25">
      <c r="A43" s="1">
        <v>44809</v>
      </c>
      <c r="B43">
        <v>16161410</v>
      </c>
      <c r="D43" s="27" t="s">
        <v>15</v>
      </c>
      <c r="E43" s="27" t="s">
        <v>645</v>
      </c>
      <c r="F43" s="27"/>
      <c r="G43" s="25">
        <v>44809.591956018521</v>
      </c>
      <c r="H43" s="27" t="s">
        <v>30</v>
      </c>
    </row>
    <row r="44" spans="1:8" x14ac:dyDescent="0.25">
      <c r="A44" s="1">
        <v>44809</v>
      </c>
      <c r="B44">
        <v>16161422</v>
      </c>
      <c r="D44" s="27" t="s">
        <v>14</v>
      </c>
      <c r="E44" s="27" t="s">
        <v>646</v>
      </c>
      <c r="F44" s="27"/>
      <c r="G44" s="25">
        <v>44809.593946759262</v>
      </c>
      <c r="H44" s="27" t="s">
        <v>30</v>
      </c>
    </row>
    <row r="45" spans="1:8" x14ac:dyDescent="0.25">
      <c r="A45" s="1">
        <v>44809</v>
      </c>
      <c r="B45">
        <v>16161544</v>
      </c>
      <c r="D45" s="27" t="s">
        <v>15</v>
      </c>
      <c r="E45" s="27" t="s">
        <v>647</v>
      </c>
      <c r="F45" s="27"/>
      <c r="G45" s="25">
        <v>44809.603182870371</v>
      </c>
      <c r="H45" s="27" t="s">
        <v>30</v>
      </c>
    </row>
    <row r="46" spans="1:8" x14ac:dyDescent="0.25">
      <c r="A46" s="1">
        <v>44807</v>
      </c>
      <c r="B46">
        <v>16157005</v>
      </c>
      <c r="D46" s="27" t="s">
        <v>14</v>
      </c>
      <c r="E46" s="27" t="s">
        <v>648</v>
      </c>
      <c r="F46" s="27" t="s">
        <v>10</v>
      </c>
      <c r="G46" s="25">
        <v>44807.817060185182</v>
      </c>
      <c r="H46" s="27" t="s">
        <v>30</v>
      </c>
    </row>
    <row r="47" spans="1:8" x14ac:dyDescent="0.25">
      <c r="A47" s="1">
        <v>44807</v>
      </c>
      <c r="B47">
        <v>16153243</v>
      </c>
      <c r="D47" s="27" t="s">
        <v>14</v>
      </c>
      <c r="E47" s="27" t="s">
        <v>516</v>
      </c>
      <c r="F47" s="27" t="s">
        <v>10</v>
      </c>
      <c r="G47" s="25">
        <v>44806.566377314812</v>
      </c>
      <c r="H47" s="27" t="s">
        <v>30</v>
      </c>
    </row>
    <row r="48" spans="1:8" x14ac:dyDescent="0.25">
      <c r="A48" s="1">
        <v>44807</v>
      </c>
      <c r="B48">
        <v>16153318</v>
      </c>
      <c r="D48" s="27" t="s">
        <v>11</v>
      </c>
      <c r="E48" s="27" t="s">
        <v>517</v>
      </c>
      <c r="F48" s="27" t="s">
        <v>10</v>
      </c>
      <c r="G48" s="25">
        <v>44806.571238425924</v>
      </c>
      <c r="H48" s="27" t="s">
        <v>30</v>
      </c>
    </row>
    <row r="49" spans="1:8" x14ac:dyDescent="0.25">
      <c r="A49" s="1">
        <v>44807</v>
      </c>
      <c r="B49">
        <v>16153406</v>
      </c>
      <c r="D49" s="27" t="s">
        <v>14</v>
      </c>
      <c r="E49" s="27" t="s">
        <v>518</v>
      </c>
      <c r="F49" s="27" t="s">
        <v>10</v>
      </c>
      <c r="G49" s="25">
        <v>44806.579259259262</v>
      </c>
      <c r="H49" s="27" t="s">
        <v>30</v>
      </c>
    </row>
    <row r="50" spans="1:8" x14ac:dyDescent="0.25">
      <c r="A50" s="1">
        <v>44807</v>
      </c>
      <c r="B50">
        <v>16153588</v>
      </c>
      <c r="D50" s="27" t="s">
        <v>14</v>
      </c>
      <c r="E50" s="27" t="s">
        <v>519</v>
      </c>
      <c r="F50" s="27" t="s">
        <v>10</v>
      </c>
      <c r="G50" s="25">
        <v>44806.586041666669</v>
      </c>
      <c r="H50" s="27" t="s">
        <v>30</v>
      </c>
    </row>
    <row r="51" spans="1:8" x14ac:dyDescent="0.25">
      <c r="A51" s="1">
        <v>44807</v>
      </c>
      <c r="B51">
        <v>16153717</v>
      </c>
      <c r="D51" s="27" t="s">
        <v>14</v>
      </c>
      <c r="E51" s="27" t="s">
        <v>520</v>
      </c>
      <c r="F51" s="27" t="s">
        <v>10</v>
      </c>
      <c r="G51" s="25">
        <v>44806.593055555553</v>
      </c>
      <c r="H51" s="27" t="s">
        <v>30</v>
      </c>
    </row>
    <row r="52" spans="1:8" x14ac:dyDescent="0.25">
      <c r="A52" s="1">
        <v>44807</v>
      </c>
      <c r="B52">
        <v>16154191</v>
      </c>
      <c r="D52" s="27" t="s">
        <v>11</v>
      </c>
      <c r="E52" s="27" t="s">
        <v>534</v>
      </c>
      <c r="F52" s="27" t="s">
        <v>10</v>
      </c>
      <c r="G52" s="25">
        <v>44806.617268518516</v>
      </c>
      <c r="H52" s="27" t="s">
        <v>30</v>
      </c>
    </row>
    <row r="53" spans="1:8" x14ac:dyDescent="0.25">
      <c r="A53" s="1">
        <v>44807</v>
      </c>
      <c r="B53">
        <v>16154239</v>
      </c>
      <c r="D53" s="27" t="s">
        <v>11</v>
      </c>
      <c r="E53" s="27" t="s">
        <v>537</v>
      </c>
      <c r="F53" s="27" t="s">
        <v>10</v>
      </c>
      <c r="G53" s="25">
        <v>44806.619456018518</v>
      </c>
      <c r="H53" s="27" t="s">
        <v>30</v>
      </c>
    </row>
    <row r="54" spans="1:8" x14ac:dyDescent="0.25">
      <c r="A54" s="1">
        <v>44807</v>
      </c>
      <c r="B54">
        <v>16154297</v>
      </c>
      <c r="D54" s="27" t="s">
        <v>11</v>
      </c>
      <c r="E54" s="27" t="s">
        <v>543</v>
      </c>
      <c r="F54" s="27" t="s">
        <v>10</v>
      </c>
      <c r="G54" s="25">
        <v>44806.622488425928</v>
      </c>
      <c r="H54" s="27" t="s">
        <v>30</v>
      </c>
    </row>
    <row r="55" spans="1:8" x14ac:dyDescent="0.25">
      <c r="A55" s="1">
        <v>44807</v>
      </c>
      <c r="B55">
        <v>16154094</v>
      </c>
      <c r="D55" s="27" t="s">
        <v>11</v>
      </c>
      <c r="E55" s="27" t="s">
        <v>528</v>
      </c>
      <c r="F55" s="27"/>
      <c r="G55" s="25">
        <v>44806.613229166665</v>
      </c>
      <c r="H55" s="27" t="s">
        <v>30</v>
      </c>
    </row>
    <row r="56" spans="1:8" x14ac:dyDescent="0.25">
      <c r="A56" s="1">
        <v>44807</v>
      </c>
      <c r="B56">
        <v>16153013</v>
      </c>
      <c r="D56" s="27" t="s">
        <v>11</v>
      </c>
      <c r="E56" s="27" t="s">
        <v>228</v>
      </c>
      <c r="F56" s="27" t="s">
        <v>10</v>
      </c>
      <c r="G56" s="25">
        <v>44806.550451388888</v>
      </c>
      <c r="H56" s="27" t="s">
        <v>30</v>
      </c>
    </row>
    <row r="57" spans="1:8" x14ac:dyDescent="0.25">
      <c r="A57" s="1">
        <v>44807</v>
      </c>
      <c r="B57">
        <v>16153113</v>
      </c>
      <c r="D57" s="27" t="s">
        <v>11</v>
      </c>
      <c r="E57" s="27" t="s">
        <v>515</v>
      </c>
      <c r="F57" s="27" t="s">
        <v>10</v>
      </c>
      <c r="G57" s="25">
        <v>44806.55809027778</v>
      </c>
      <c r="H57" s="27" t="s">
        <v>30</v>
      </c>
    </row>
    <row r="58" spans="1:8" x14ac:dyDescent="0.25">
      <c r="A58" s="1">
        <v>44807</v>
      </c>
      <c r="B58">
        <v>16148742</v>
      </c>
      <c r="D58" s="27" t="s">
        <v>11</v>
      </c>
      <c r="E58" s="27" t="s">
        <v>290</v>
      </c>
      <c r="F58" s="27" t="s">
        <v>10</v>
      </c>
      <c r="G58" s="25">
        <v>44806.554606481484</v>
      </c>
      <c r="H58" s="27" t="s">
        <v>30</v>
      </c>
    </row>
    <row r="59" spans="1:8" x14ac:dyDescent="0.25">
      <c r="A59" s="1">
        <v>44806</v>
      </c>
      <c r="B59">
        <v>16136656</v>
      </c>
      <c r="D59" s="27" t="s">
        <v>7</v>
      </c>
      <c r="E59" s="27" t="s">
        <v>204</v>
      </c>
      <c r="F59" s="27" t="s">
        <v>18</v>
      </c>
      <c r="G59" s="25">
        <v>44803.463726851849</v>
      </c>
      <c r="H59" s="27" t="s">
        <v>30</v>
      </c>
    </row>
    <row r="60" spans="1:8" x14ac:dyDescent="0.25">
      <c r="A60" s="1">
        <v>44806</v>
      </c>
      <c r="B60">
        <v>16146099</v>
      </c>
      <c r="D60" s="27" t="s">
        <v>7</v>
      </c>
      <c r="E60" s="27" t="s">
        <v>205</v>
      </c>
      <c r="F60" s="27" t="s">
        <v>10</v>
      </c>
      <c r="G60" s="25">
        <v>44803.464479166665</v>
      </c>
      <c r="H60" s="27" t="s">
        <v>30</v>
      </c>
    </row>
    <row r="61" spans="1:8" x14ac:dyDescent="0.25">
      <c r="A61" s="1">
        <v>44806</v>
      </c>
      <c r="B61">
        <v>16126188</v>
      </c>
      <c r="D61" s="27" t="s">
        <v>7</v>
      </c>
      <c r="E61" s="27" t="s">
        <v>206</v>
      </c>
      <c r="F61" s="27" t="s">
        <v>18</v>
      </c>
      <c r="G61" s="25">
        <v>44799.648958333331</v>
      </c>
      <c r="H61" s="27" t="s">
        <v>30</v>
      </c>
    </row>
    <row r="62" spans="1:8" x14ac:dyDescent="0.25">
      <c r="A62" s="1">
        <v>44806</v>
      </c>
      <c r="B62">
        <v>16126009</v>
      </c>
      <c r="D62" s="27" t="s">
        <v>7</v>
      </c>
      <c r="E62" s="27" t="s">
        <v>207</v>
      </c>
      <c r="F62" s="27" t="s">
        <v>18</v>
      </c>
      <c r="G62" s="25">
        <v>44799.645046296297</v>
      </c>
      <c r="H62" s="27" t="s">
        <v>30</v>
      </c>
    </row>
    <row r="63" spans="1:8" x14ac:dyDescent="0.25">
      <c r="A63" s="1">
        <v>44806</v>
      </c>
      <c r="B63">
        <v>16143473</v>
      </c>
      <c r="D63" s="27" t="s">
        <v>7</v>
      </c>
      <c r="E63" s="27" t="s">
        <v>208</v>
      </c>
      <c r="F63" s="27" t="s">
        <v>18</v>
      </c>
      <c r="G63" s="25">
        <v>44804.622719907406</v>
      </c>
      <c r="H63" s="27" t="s">
        <v>30</v>
      </c>
    </row>
    <row r="64" spans="1:8" x14ac:dyDescent="0.25">
      <c r="A64" s="1">
        <v>44806</v>
      </c>
      <c r="B64">
        <v>16143509</v>
      </c>
      <c r="D64" s="27" t="s">
        <v>7</v>
      </c>
      <c r="E64" s="27" t="s">
        <v>209</v>
      </c>
      <c r="F64" s="27" t="s">
        <v>18</v>
      </c>
      <c r="G64" s="25">
        <v>44804.625902777778</v>
      </c>
      <c r="H64" s="27" t="s">
        <v>30</v>
      </c>
    </row>
    <row r="65" spans="1:8" x14ac:dyDescent="0.25">
      <c r="A65" s="1">
        <v>44806</v>
      </c>
      <c r="B65">
        <v>16147813</v>
      </c>
      <c r="D65" s="27" t="s">
        <v>15</v>
      </c>
      <c r="E65" s="27" t="s">
        <v>215</v>
      </c>
      <c r="F65" s="27" t="s">
        <v>10</v>
      </c>
      <c r="G65" s="25">
        <v>44805.581400462965</v>
      </c>
      <c r="H65" s="27" t="s">
        <v>30</v>
      </c>
    </row>
    <row r="66" spans="1:8" x14ac:dyDescent="0.25">
      <c r="A66" s="1">
        <v>44806</v>
      </c>
      <c r="B66">
        <v>16147828</v>
      </c>
      <c r="D66" s="27" t="s">
        <v>15</v>
      </c>
      <c r="E66" s="27" t="s">
        <v>216</v>
      </c>
      <c r="F66" s="27" t="s">
        <v>10</v>
      </c>
      <c r="G66" s="25">
        <v>44805.582812499997</v>
      </c>
      <c r="H66" s="27" t="s">
        <v>30</v>
      </c>
    </row>
    <row r="67" spans="1:8" x14ac:dyDescent="0.25">
      <c r="A67" s="1">
        <v>44806</v>
      </c>
      <c r="B67">
        <v>16150811</v>
      </c>
      <c r="D67" s="27" t="s">
        <v>7</v>
      </c>
      <c r="E67" s="27" t="s">
        <v>521</v>
      </c>
      <c r="F67" s="27" t="s">
        <v>21</v>
      </c>
      <c r="G67" s="25">
        <v>44806.349340277775</v>
      </c>
      <c r="H67" s="27" t="s">
        <v>30</v>
      </c>
    </row>
    <row r="68" spans="1:8" x14ac:dyDescent="0.25">
      <c r="A68" s="1">
        <v>44806</v>
      </c>
      <c r="B68">
        <v>16147622</v>
      </c>
      <c r="D68" s="27" t="s">
        <v>14</v>
      </c>
      <c r="E68" s="27" t="s">
        <v>210</v>
      </c>
      <c r="F68" s="27" t="s">
        <v>10</v>
      </c>
      <c r="G68" s="25">
        <v>44805.566678240742</v>
      </c>
      <c r="H68" s="27" t="s">
        <v>30</v>
      </c>
    </row>
    <row r="69" spans="1:8" x14ac:dyDescent="0.25">
      <c r="A69" s="1">
        <v>44806</v>
      </c>
      <c r="B69">
        <v>16152235</v>
      </c>
      <c r="D69" s="27" t="s">
        <v>7</v>
      </c>
      <c r="E69" s="27" t="s">
        <v>522</v>
      </c>
      <c r="F69" s="27" t="s">
        <v>10</v>
      </c>
      <c r="G69" s="25">
        <v>44806.46166666667</v>
      </c>
      <c r="H69" s="27" t="s">
        <v>30</v>
      </c>
    </row>
    <row r="70" spans="1:8" x14ac:dyDescent="0.25">
      <c r="A70" s="1">
        <v>44806</v>
      </c>
      <c r="B70">
        <v>16147934</v>
      </c>
      <c r="D70" s="27" t="s">
        <v>11</v>
      </c>
      <c r="E70" s="27" t="s">
        <v>212</v>
      </c>
      <c r="F70" s="27" t="s">
        <v>10</v>
      </c>
      <c r="G70" s="25">
        <v>44805.589583333334</v>
      </c>
      <c r="H70" s="27" t="s">
        <v>30</v>
      </c>
    </row>
    <row r="71" spans="1:8" x14ac:dyDescent="0.25">
      <c r="A71" s="1">
        <v>44806</v>
      </c>
      <c r="B71">
        <v>16148533</v>
      </c>
      <c r="D71" s="27" t="s">
        <v>11</v>
      </c>
      <c r="E71" s="27" t="s">
        <v>289</v>
      </c>
      <c r="F71" s="27"/>
      <c r="G71" s="25">
        <v>44805.634386574071</v>
      </c>
      <c r="H71" s="27" t="s">
        <v>30</v>
      </c>
    </row>
    <row r="72" spans="1:8" x14ac:dyDescent="0.25">
      <c r="A72" s="1">
        <v>44806</v>
      </c>
      <c r="B72">
        <v>16148742</v>
      </c>
      <c r="D72" s="27" t="s">
        <v>11</v>
      </c>
      <c r="E72" s="27" t="s">
        <v>290</v>
      </c>
      <c r="F72" s="27"/>
      <c r="G72" s="25">
        <v>44805.652638888889</v>
      </c>
      <c r="H72" s="27" t="s">
        <v>30</v>
      </c>
    </row>
    <row r="73" spans="1:8" x14ac:dyDescent="0.25">
      <c r="A73" s="1">
        <v>44806</v>
      </c>
      <c r="B73">
        <v>16148820</v>
      </c>
      <c r="D73" s="27" t="s">
        <v>14</v>
      </c>
      <c r="E73" s="27" t="s">
        <v>291</v>
      </c>
      <c r="F73" s="27" t="s">
        <v>10</v>
      </c>
      <c r="G73" s="25">
        <v>44805.659039351849</v>
      </c>
      <c r="H73" s="27" t="s">
        <v>30</v>
      </c>
    </row>
    <row r="74" spans="1:8" x14ac:dyDescent="0.25">
      <c r="A74" s="1">
        <v>44806</v>
      </c>
      <c r="B74">
        <v>16151817</v>
      </c>
      <c r="D74" s="27" t="s">
        <v>14</v>
      </c>
      <c r="E74" s="27" t="s">
        <v>523</v>
      </c>
      <c r="F74" s="27"/>
      <c r="G74" s="25">
        <v>44806.418865740743</v>
      </c>
      <c r="H74" s="27" t="s">
        <v>30</v>
      </c>
    </row>
    <row r="75" spans="1:8" x14ac:dyDescent="0.25">
      <c r="A75" s="1">
        <v>44806</v>
      </c>
      <c r="B75">
        <v>16152030</v>
      </c>
      <c r="D75" s="27" t="s">
        <v>14</v>
      </c>
      <c r="E75" s="27" t="s">
        <v>519</v>
      </c>
      <c r="F75" s="27"/>
      <c r="G75" s="25">
        <v>44806.437650462962</v>
      </c>
      <c r="H75" s="27" t="s">
        <v>30</v>
      </c>
    </row>
    <row r="76" spans="1:8" x14ac:dyDescent="0.25">
      <c r="A76" s="1">
        <v>44806</v>
      </c>
      <c r="B76">
        <v>16148010</v>
      </c>
      <c r="D76" s="27" t="s">
        <v>12</v>
      </c>
      <c r="E76" s="27" t="s">
        <v>213</v>
      </c>
      <c r="F76" s="27" t="s">
        <v>10</v>
      </c>
      <c r="G76" s="25">
        <v>44805.596990740742</v>
      </c>
      <c r="H76" s="27" t="s">
        <v>30</v>
      </c>
    </row>
    <row r="77" spans="1:8" x14ac:dyDescent="0.25">
      <c r="A77" s="1">
        <v>44806</v>
      </c>
      <c r="B77">
        <v>16148027</v>
      </c>
      <c r="D77" s="27" t="s">
        <v>12</v>
      </c>
      <c r="E77" s="27" t="s">
        <v>214</v>
      </c>
      <c r="F77" s="27" t="s">
        <v>10</v>
      </c>
      <c r="G77" s="25">
        <v>44805.597303240742</v>
      </c>
      <c r="H77" s="27" t="s">
        <v>30</v>
      </c>
    </row>
    <row r="78" spans="1:8" x14ac:dyDescent="0.25">
      <c r="A78" s="1">
        <v>44806</v>
      </c>
      <c r="B78">
        <v>16147724</v>
      </c>
      <c r="D78" s="27" t="s">
        <v>14</v>
      </c>
      <c r="E78" s="27" t="s">
        <v>211</v>
      </c>
      <c r="F78" s="27" t="s">
        <v>10</v>
      </c>
      <c r="G78" s="25">
        <v>44805.574432870373</v>
      </c>
      <c r="H78" s="27" t="s">
        <v>30</v>
      </c>
    </row>
    <row r="79" spans="1:8" x14ac:dyDescent="0.25">
      <c r="A79" s="1">
        <v>44805</v>
      </c>
      <c r="B79">
        <v>16147886</v>
      </c>
      <c r="D79" s="27" t="s">
        <v>11</v>
      </c>
      <c r="E79" s="27" t="s">
        <v>228</v>
      </c>
      <c r="F79" s="27"/>
      <c r="G79" s="25">
        <v>44805.586782407408</v>
      </c>
      <c r="H79" s="27" t="s">
        <v>30</v>
      </c>
    </row>
    <row r="80" spans="1:8" x14ac:dyDescent="0.25">
      <c r="A80" s="1">
        <v>44805</v>
      </c>
      <c r="B80">
        <v>16148226</v>
      </c>
      <c r="D80" s="27" t="s">
        <v>14</v>
      </c>
      <c r="E80" s="27" t="s">
        <v>233</v>
      </c>
      <c r="F80" s="27"/>
      <c r="G80" s="25">
        <v>44805.6096875</v>
      </c>
      <c r="H80" s="27" t="s">
        <v>30</v>
      </c>
    </row>
    <row r="81" spans="1:8" x14ac:dyDescent="0.25">
      <c r="A81" s="1">
        <v>44805</v>
      </c>
      <c r="B81">
        <v>16149454</v>
      </c>
      <c r="D81" s="27" t="s">
        <v>14</v>
      </c>
      <c r="E81" s="27" t="s">
        <v>524</v>
      </c>
      <c r="F81" s="27"/>
      <c r="G81" s="25">
        <v>44805.74422453704</v>
      </c>
      <c r="H81" s="27" t="s">
        <v>30</v>
      </c>
    </row>
    <row r="82" spans="1:8" x14ac:dyDescent="0.25">
      <c r="A82" s="1">
        <v>44805</v>
      </c>
      <c r="B82">
        <v>16144490</v>
      </c>
      <c r="D82" s="27" t="s">
        <v>11</v>
      </c>
      <c r="E82" s="27" t="s">
        <v>231</v>
      </c>
      <c r="F82" s="27" t="s">
        <v>10</v>
      </c>
      <c r="G82" s="25">
        <v>44804.726979166669</v>
      </c>
      <c r="H82" s="27" t="s">
        <v>30</v>
      </c>
    </row>
    <row r="83" spans="1:8" x14ac:dyDescent="0.25">
      <c r="A83" s="1">
        <v>44805</v>
      </c>
      <c r="B83">
        <v>16145945</v>
      </c>
      <c r="D83" s="27" t="s">
        <v>14</v>
      </c>
      <c r="E83" s="27" t="s">
        <v>232</v>
      </c>
      <c r="F83" s="27" t="s">
        <v>10</v>
      </c>
      <c r="G83" s="25">
        <v>44805.351018518515</v>
      </c>
      <c r="H83" s="27" t="s">
        <v>30</v>
      </c>
    </row>
    <row r="84" spans="1:8" x14ac:dyDescent="0.25">
      <c r="A84" s="1">
        <v>44805</v>
      </c>
      <c r="B84">
        <v>16142725</v>
      </c>
      <c r="D84" s="27" t="s">
        <v>15</v>
      </c>
      <c r="E84" s="27" t="s">
        <v>215</v>
      </c>
      <c r="F84" s="27" t="s">
        <v>10</v>
      </c>
      <c r="G84" s="25">
        <v>44804.561724537038</v>
      </c>
      <c r="H84" s="27" t="s">
        <v>30</v>
      </c>
    </row>
    <row r="85" spans="1:8" x14ac:dyDescent="0.25">
      <c r="A85" s="1">
        <v>44805</v>
      </c>
      <c r="B85">
        <v>16146398</v>
      </c>
      <c r="D85" s="27" t="s">
        <v>7</v>
      </c>
      <c r="E85" s="27" t="s">
        <v>227</v>
      </c>
      <c r="F85" s="27" t="s">
        <v>17</v>
      </c>
      <c r="G85" s="25">
        <v>44805.395682870374</v>
      </c>
      <c r="H85" s="27" t="s">
        <v>30</v>
      </c>
    </row>
    <row r="86" spans="1:8" x14ac:dyDescent="0.25">
      <c r="A86" s="1">
        <v>44805</v>
      </c>
      <c r="B86">
        <v>16143409</v>
      </c>
      <c r="D86" s="27" t="s">
        <v>11</v>
      </c>
      <c r="E86" s="27" t="s">
        <v>224</v>
      </c>
      <c r="F86" s="27" t="s">
        <v>10</v>
      </c>
      <c r="G86" s="25">
        <v>44804.618472222224</v>
      </c>
      <c r="H86" s="27" t="s">
        <v>30</v>
      </c>
    </row>
    <row r="87" spans="1:8" x14ac:dyDescent="0.25">
      <c r="A87" s="1">
        <v>44805</v>
      </c>
      <c r="B87">
        <v>16141975</v>
      </c>
      <c r="D87" s="27" t="s">
        <v>14</v>
      </c>
      <c r="E87" s="27" t="s">
        <v>225</v>
      </c>
      <c r="F87" s="27"/>
      <c r="G87" s="25">
        <v>44804.441736111112</v>
      </c>
      <c r="H87" s="27" t="s">
        <v>30</v>
      </c>
    </row>
    <row r="88" spans="1:8" x14ac:dyDescent="0.25">
      <c r="A88" s="1">
        <v>44805</v>
      </c>
      <c r="B88">
        <v>16143008</v>
      </c>
      <c r="D88" s="27" t="s">
        <v>11</v>
      </c>
      <c r="E88" s="27" t="s">
        <v>226</v>
      </c>
      <c r="F88" s="27" t="s">
        <v>10</v>
      </c>
      <c r="G88" s="25">
        <v>44804.581620370373</v>
      </c>
      <c r="H88" s="27" t="s">
        <v>30</v>
      </c>
    </row>
    <row r="89" spans="1:8" x14ac:dyDescent="0.25">
      <c r="A89" s="1">
        <v>44805</v>
      </c>
      <c r="B89">
        <v>16143886</v>
      </c>
      <c r="D89" s="27" t="s">
        <v>14</v>
      </c>
      <c r="E89" s="27" t="s">
        <v>228</v>
      </c>
      <c r="F89" s="27" t="s">
        <v>10</v>
      </c>
      <c r="G89" s="25">
        <v>44804.660231481481</v>
      </c>
      <c r="H89" s="27" t="s">
        <v>30</v>
      </c>
    </row>
    <row r="90" spans="1:8" x14ac:dyDescent="0.25">
      <c r="A90" s="1">
        <v>44805</v>
      </c>
      <c r="B90">
        <v>16142139</v>
      </c>
      <c r="D90" s="27" t="s">
        <v>14</v>
      </c>
      <c r="E90" s="27" t="s">
        <v>229</v>
      </c>
      <c r="F90" s="27"/>
      <c r="G90" s="25">
        <v>44804.458865740744</v>
      </c>
      <c r="H90" s="27" t="s">
        <v>30</v>
      </c>
    </row>
    <row r="91" spans="1:8" x14ac:dyDescent="0.25">
      <c r="A91" s="1">
        <v>44805</v>
      </c>
      <c r="B91">
        <v>16144154</v>
      </c>
      <c r="D91" s="27" t="s">
        <v>11</v>
      </c>
      <c r="E91" s="27" t="s">
        <v>230</v>
      </c>
      <c r="F91" s="27" t="s">
        <v>10</v>
      </c>
      <c r="G91" s="25">
        <v>44804.682453703703</v>
      </c>
      <c r="H91" s="27" t="s">
        <v>30</v>
      </c>
    </row>
    <row r="92" spans="1:8" x14ac:dyDescent="0.25">
      <c r="A92" s="1">
        <v>44805</v>
      </c>
      <c r="B92">
        <v>16136451</v>
      </c>
      <c r="D92" s="27" t="s">
        <v>7</v>
      </c>
      <c r="E92" s="27" t="s">
        <v>217</v>
      </c>
      <c r="F92" s="27" t="s">
        <v>10</v>
      </c>
      <c r="G92" s="25">
        <v>44803.460173611114</v>
      </c>
      <c r="H92" s="27" t="s">
        <v>30</v>
      </c>
    </row>
    <row r="93" spans="1:8" x14ac:dyDescent="0.25">
      <c r="A93" s="1">
        <v>44805</v>
      </c>
      <c r="B93">
        <v>16136469</v>
      </c>
      <c r="D93" s="27" t="s">
        <v>7</v>
      </c>
      <c r="E93" s="27" t="s">
        <v>218</v>
      </c>
      <c r="F93" s="27" t="s">
        <v>10</v>
      </c>
      <c r="G93" s="25">
        <v>44803.461331018516</v>
      </c>
      <c r="H93" s="27" t="s">
        <v>30</v>
      </c>
    </row>
    <row r="94" spans="1:8" x14ac:dyDescent="0.25">
      <c r="A94" s="1">
        <v>44805</v>
      </c>
      <c r="B94">
        <v>16136502</v>
      </c>
      <c r="D94" s="27" t="s">
        <v>7</v>
      </c>
      <c r="E94" s="27" t="s">
        <v>219</v>
      </c>
      <c r="F94" s="27" t="s">
        <v>10</v>
      </c>
      <c r="G94" s="25">
        <v>44803.462314814817</v>
      </c>
      <c r="H94" s="27" t="s">
        <v>30</v>
      </c>
    </row>
    <row r="95" spans="1:8" x14ac:dyDescent="0.25">
      <c r="A95" s="1">
        <v>44805</v>
      </c>
      <c r="B95">
        <v>16136839</v>
      </c>
      <c r="D95" s="27" t="s">
        <v>7</v>
      </c>
      <c r="E95" s="27" t="s">
        <v>220</v>
      </c>
      <c r="F95" s="27" t="s">
        <v>10</v>
      </c>
      <c r="G95" s="25">
        <v>44803.524143518516</v>
      </c>
      <c r="H95" s="27" t="s">
        <v>30</v>
      </c>
    </row>
    <row r="96" spans="1:8" x14ac:dyDescent="0.25">
      <c r="A96" s="1">
        <v>44805</v>
      </c>
      <c r="B96">
        <v>16136811</v>
      </c>
      <c r="D96" s="27" t="s">
        <v>7</v>
      </c>
      <c r="E96" s="27" t="s">
        <v>221</v>
      </c>
      <c r="F96" s="27" t="s">
        <v>10</v>
      </c>
      <c r="G96" s="25">
        <v>44803.524780092594</v>
      </c>
      <c r="H96" s="27" t="s">
        <v>30</v>
      </c>
    </row>
    <row r="97" spans="1:8" x14ac:dyDescent="0.25">
      <c r="A97" s="1">
        <v>44805</v>
      </c>
      <c r="B97">
        <v>16136878</v>
      </c>
      <c r="D97" s="27" t="s">
        <v>7</v>
      </c>
      <c r="E97" s="27" t="s">
        <v>222</v>
      </c>
      <c r="F97" s="27" t="s">
        <v>10</v>
      </c>
      <c r="G97" s="25">
        <v>44803.52548611111</v>
      </c>
      <c r="H97" s="27" t="s">
        <v>30</v>
      </c>
    </row>
    <row r="98" spans="1:8" x14ac:dyDescent="0.25">
      <c r="A98" s="1">
        <v>44805</v>
      </c>
      <c r="B98">
        <v>16131035</v>
      </c>
      <c r="D98" s="27" t="s">
        <v>7</v>
      </c>
      <c r="E98" s="27" t="s">
        <v>223</v>
      </c>
      <c r="F98" s="27" t="s">
        <v>10</v>
      </c>
      <c r="G98" s="25">
        <v>44802.39916666667</v>
      </c>
      <c r="H98" s="27" t="s">
        <v>30</v>
      </c>
    </row>
    <row r="99" spans="1:8" x14ac:dyDescent="0.25">
      <c r="A99" s="1">
        <v>44805</v>
      </c>
      <c r="B99">
        <v>16143145</v>
      </c>
      <c r="D99" s="27" t="s">
        <v>12</v>
      </c>
      <c r="E99" s="27" t="s">
        <v>213</v>
      </c>
      <c r="F99" s="27" t="s">
        <v>10</v>
      </c>
      <c r="G99" s="25">
        <v>44804.595775462964</v>
      </c>
      <c r="H99" s="27" t="s">
        <v>30</v>
      </c>
    </row>
    <row r="100" spans="1:8" x14ac:dyDescent="0.25">
      <c r="A100" s="1">
        <v>44804</v>
      </c>
      <c r="B100">
        <v>16138069</v>
      </c>
      <c r="D100" s="27" t="s">
        <v>12</v>
      </c>
      <c r="E100" s="27" t="s">
        <v>239</v>
      </c>
      <c r="F100" s="27" t="s">
        <v>10</v>
      </c>
      <c r="G100" s="25">
        <v>44803.602106481485</v>
      </c>
      <c r="H100" s="27" t="s">
        <v>30</v>
      </c>
    </row>
    <row r="101" spans="1:8" x14ac:dyDescent="0.25">
      <c r="A101" s="1">
        <v>44804</v>
      </c>
      <c r="B101">
        <v>16124581</v>
      </c>
      <c r="D101" s="27" t="s">
        <v>7</v>
      </c>
      <c r="E101" s="27" t="s">
        <v>234</v>
      </c>
      <c r="F101" s="27" t="s">
        <v>10</v>
      </c>
      <c r="G101" s="25">
        <v>44799.556863425925</v>
      </c>
      <c r="H101" s="27" t="s">
        <v>30</v>
      </c>
    </row>
    <row r="102" spans="1:8" x14ac:dyDescent="0.25">
      <c r="A102" s="1">
        <v>44804</v>
      </c>
      <c r="B102">
        <v>16126531</v>
      </c>
      <c r="D102" s="27" t="s">
        <v>7</v>
      </c>
      <c r="E102" s="27" t="s">
        <v>235</v>
      </c>
      <c r="F102" s="27" t="s">
        <v>18</v>
      </c>
      <c r="G102" s="25">
        <v>44799.669016203705</v>
      </c>
      <c r="H102" s="27" t="s">
        <v>30</v>
      </c>
    </row>
    <row r="103" spans="1:8" x14ac:dyDescent="0.25">
      <c r="A103" s="1">
        <v>44804</v>
      </c>
      <c r="B103">
        <v>16131170</v>
      </c>
      <c r="D103" s="27" t="s">
        <v>9</v>
      </c>
      <c r="E103" s="27" t="s">
        <v>236</v>
      </c>
      <c r="F103" s="27" t="s">
        <v>10</v>
      </c>
      <c r="G103" s="25">
        <v>44802.407048611109</v>
      </c>
      <c r="H103" s="27" t="s">
        <v>30</v>
      </c>
    </row>
    <row r="104" spans="1:8" x14ac:dyDescent="0.25">
      <c r="A104" s="1">
        <v>44804</v>
      </c>
      <c r="B104">
        <v>16138234</v>
      </c>
      <c r="D104" s="27" t="s">
        <v>15</v>
      </c>
      <c r="E104" s="27" t="s">
        <v>237</v>
      </c>
      <c r="F104" s="27" t="s">
        <v>10</v>
      </c>
      <c r="G104" s="25">
        <v>44803.576064814813</v>
      </c>
      <c r="H104" s="27" t="s">
        <v>30</v>
      </c>
    </row>
    <row r="105" spans="1:8" x14ac:dyDescent="0.25">
      <c r="A105" s="1">
        <v>44804</v>
      </c>
      <c r="B105">
        <v>16138126</v>
      </c>
      <c r="D105" s="27" t="s">
        <v>9</v>
      </c>
      <c r="E105" s="27" t="s">
        <v>238</v>
      </c>
      <c r="F105" s="27" t="s">
        <v>18</v>
      </c>
      <c r="G105" s="25">
        <v>44803.59584490741</v>
      </c>
      <c r="H105" s="27" t="s">
        <v>30</v>
      </c>
    </row>
    <row r="106" spans="1:8" x14ac:dyDescent="0.25">
      <c r="A106" s="1">
        <v>44804</v>
      </c>
      <c r="B106">
        <v>16138468</v>
      </c>
      <c r="D106" s="27" t="s">
        <v>7</v>
      </c>
      <c r="E106" s="27" t="s">
        <v>240</v>
      </c>
      <c r="F106" s="27" t="s">
        <v>31</v>
      </c>
      <c r="G106" s="25">
        <v>44803.628368055557</v>
      </c>
      <c r="H106" s="27" t="s">
        <v>30</v>
      </c>
    </row>
    <row r="107" spans="1:8" x14ac:dyDescent="0.25">
      <c r="A107" s="1">
        <v>44804</v>
      </c>
      <c r="B107">
        <v>16141527</v>
      </c>
      <c r="D107" s="27" t="s">
        <v>7</v>
      </c>
      <c r="E107" s="27" t="s">
        <v>241</v>
      </c>
      <c r="F107" s="27" t="s">
        <v>10</v>
      </c>
      <c r="G107" s="25">
        <v>44804.40079861111</v>
      </c>
      <c r="H107" s="27" t="s">
        <v>30</v>
      </c>
    </row>
    <row r="108" spans="1:8" x14ac:dyDescent="0.25">
      <c r="A108" s="1">
        <v>44804</v>
      </c>
      <c r="B108">
        <v>16141734</v>
      </c>
      <c r="D108" s="27" t="s">
        <v>14</v>
      </c>
      <c r="E108" s="27" t="s">
        <v>242</v>
      </c>
      <c r="F108" s="27" t="s">
        <v>17</v>
      </c>
      <c r="G108" s="25">
        <v>44804.419722222221</v>
      </c>
      <c r="H108" s="27" t="s">
        <v>30</v>
      </c>
    </row>
    <row r="109" spans="1:8" x14ac:dyDescent="0.25">
      <c r="A109" s="1">
        <v>44804</v>
      </c>
      <c r="B109">
        <v>16139007</v>
      </c>
      <c r="D109" s="27" t="s">
        <v>11</v>
      </c>
      <c r="E109" s="27" t="s">
        <v>243</v>
      </c>
      <c r="F109" s="27" t="s">
        <v>10</v>
      </c>
      <c r="G109" s="25">
        <v>44799.57671296296</v>
      </c>
      <c r="H109" s="27" t="s">
        <v>30</v>
      </c>
    </row>
    <row r="110" spans="1:8" x14ac:dyDescent="0.25">
      <c r="A110" s="1">
        <v>44804</v>
      </c>
      <c r="B110">
        <v>16133145</v>
      </c>
      <c r="D110" s="27" t="s">
        <v>11</v>
      </c>
      <c r="E110" s="27" t="s">
        <v>244</v>
      </c>
      <c r="F110" s="27" t="s">
        <v>10</v>
      </c>
      <c r="G110" s="25">
        <v>44803.620023148149</v>
      </c>
      <c r="H110" s="27" t="s">
        <v>30</v>
      </c>
    </row>
    <row r="111" spans="1:8" x14ac:dyDescent="0.25">
      <c r="A111" s="1">
        <v>44804</v>
      </c>
      <c r="B111">
        <v>16139246</v>
      </c>
      <c r="D111" s="27" t="s">
        <v>14</v>
      </c>
      <c r="E111" s="27" t="s">
        <v>245</v>
      </c>
      <c r="F111" s="27" t="s">
        <v>10</v>
      </c>
      <c r="G111" s="25">
        <v>44803.725046296298</v>
      </c>
      <c r="H111" s="27" t="s">
        <v>30</v>
      </c>
    </row>
    <row r="112" spans="1:8" x14ac:dyDescent="0.25">
      <c r="A112" s="1">
        <v>44804</v>
      </c>
      <c r="B112">
        <v>16139272</v>
      </c>
      <c r="D112" s="27" t="s">
        <v>14</v>
      </c>
      <c r="E112" s="27" t="s">
        <v>246</v>
      </c>
      <c r="F112" s="27" t="s">
        <v>10</v>
      </c>
      <c r="G112" s="25">
        <v>44803.727939814817</v>
      </c>
      <c r="H112" s="27" t="s">
        <v>30</v>
      </c>
    </row>
    <row r="113" spans="1:8" x14ac:dyDescent="0.25">
      <c r="A113" s="1">
        <v>44804</v>
      </c>
      <c r="B113">
        <v>16139319</v>
      </c>
      <c r="D113" s="27" t="s">
        <v>14</v>
      </c>
      <c r="E113" s="27" t="s">
        <v>247</v>
      </c>
      <c r="F113" s="27" t="s">
        <v>10</v>
      </c>
      <c r="G113" s="25">
        <v>44803.737905092596</v>
      </c>
      <c r="H113" s="27" t="s">
        <v>30</v>
      </c>
    </row>
    <row r="114" spans="1:8" x14ac:dyDescent="0.25">
      <c r="A114" s="1">
        <v>44804</v>
      </c>
      <c r="B114">
        <v>16139327</v>
      </c>
      <c r="D114" s="27" t="s">
        <v>14</v>
      </c>
      <c r="E114" s="27" t="s">
        <v>248</v>
      </c>
      <c r="F114" s="27" t="s">
        <v>31</v>
      </c>
      <c r="G114" s="25">
        <v>44803.739594907405</v>
      </c>
      <c r="H114" s="27" t="s">
        <v>30</v>
      </c>
    </row>
    <row r="115" spans="1:8" x14ac:dyDescent="0.25">
      <c r="A115" s="1">
        <v>44804</v>
      </c>
      <c r="B115">
        <v>16142191</v>
      </c>
      <c r="D115" s="27" t="s">
        <v>14</v>
      </c>
      <c r="E115" s="27" t="s">
        <v>249</v>
      </c>
      <c r="F115" s="27" t="s">
        <v>17</v>
      </c>
      <c r="G115" s="25">
        <v>44804.467546296299</v>
      </c>
      <c r="H115" s="27" t="s">
        <v>30</v>
      </c>
    </row>
    <row r="116" spans="1:8" x14ac:dyDescent="0.25">
      <c r="A116" s="1">
        <v>44804</v>
      </c>
      <c r="B116">
        <v>16143040</v>
      </c>
      <c r="D116" s="27" t="s">
        <v>11</v>
      </c>
      <c r="E116" s="27" t="s">
        <v>228</v>
      </c>
      <c r="F116" s="27"/>
      <c r="G116" s="25">
        <v>44804.584456018521</v>
      </c>
      <c r="H116" s="27" t="s">
        <v>30</v>
      </c>
    </row>
    <row r="117" spans="1:8" x14ac:dyDescent="0.25">
      <c r="A117" s="1">
        <v>44804</v>
      </c>
      <c r="B117">
        <v>16143008</v>
      </c>
      <c r="D117" s="27" t="s">
        <v>11</v>
      </c>
      <c r="E117" s="27" t="s">
        <v>226</v>
      </c>
      <c r="F117" s="27"/>
      <c r="G117" s="25">
        <v>44804.66443287037</v>
      </c>
      <c r="H117" s="27" t="s">
        <v>30</v>
      </c>
    </row>
    <row r="118" spans="1:8" x14ac:dyDescent="0.25">
      <c r="A118" s="1">
        <v>44804</v>
      </c>
      <c r="B118">
        <v>16138062</v>
      </c>
      <c r="D118" s="27" t="s">
        <v>12</v>
      </c>
      <c r="E118" s="27" t="s">
        <v>214</v>
      </c>
      <c r="F118" s="27" t="s">
        <v>17</v>
      </c>
      <c r="G118" s="25">
        <v>44803.600358796299</v>
      </c>
      <c r="H118" s="27" t="s">
        <v>30</v>
      </c>
    </row>
    <row r="119" spans="1:8" x14ac:dyDescent="0.25">
      <c r="A119" s="1">
        <v>44803</v>
      </c>
      <c r="B119">
        <v>16126469</v>
      </c>
      <c r="D119" s="27" t="s">
        <v>7</v>
      </c>
      <c r="E119" s="27" t="s">
        <v>251</v>
      </c>
      <c r="F119" s="27" t="s">
        <v>10</v>
      </c>
      <c r="G119" s="25">
        <v>44799.664467592593</v>
      </c>
      <c r="H119" s="27" t="s">
        <v>30</v>
      </c>
    </row>
    <row r="120" spans="1:8" x14ac:dyDescent="0.25">
      <c r="A120" s="1">
        <v>44803</v>
      </c>
      <c r="B120">
        <v>16131116</v>
      </c>
      <c r="D120" s="27" t="s">
        <v>7</v>
      </c>
      <c r="E120" s="27" t="s">
        <v>257</v>
      </c>
      <c r="F120" s="27" t="s">
        <v>31</v>
      </c>
      <c r="G120" s="25">
        <v>44802.40552083333</v>
      </c>
      <c r="H120" s="27" t="s">
        <v>30</v>
      </c>
    </row>
    <row r="121" spans="1:8" x14ac:dyDescent="0.25">
      <c r="A121" s="1">
        <v>44803</v>
      </c>
      <c r="B121">
        <v>16130977</v>
      </c>
      <c r="D121" s="27" t="s">
        <v>7</v>
      </c>
      <c r="E121" s="27" t="s">
        <v>258</v>
      </c>
      <c r="F121" s="27" t="s">
        <v>10</v>
      </c>
      <c r="G121" s="25">
        <v>44802.555694444447</v>
      </c>
      <c r="H121" s="27" t="s">
        <v>30</v>
      </c>
    </row>
    <row r="122" spans="1:8" x14ac:dyDescent="0.25">
      <c r="A122" s="1">
        <v>44803</v>
      </c>
      <c r="B122">
        <v>16133113</v>
      </c>
      <c r="D122" s="27" t="s">
        <v>7</v>
      </c>
      <c r="E122" s="27" t="s">
        <v>259</v>
      </c>
      <c r="F122" s="27" t="s">
        <v>10</v>
      </c>
      <c r="G122" s="25">
        <v>44802.611712962964</v>
      </c>
      <c r="H122" s="27" t="s">
        <v>30</v>
      </c>
    </row>
    <row r="123" spans="1:8" x14ac:dyDescent="0.25">
      <c r="A123" s="1">
        <v>44803</v>
      </c>
      <c r="B123">
        <v>16132557</v>
      </c>
      <c r="D123" s="27" t="s">
        <v>12</v>
      </c>
      <c r="E123" s="27" t="s">
        <v>214</v>
      </c>
      <c r="F123" s="27" t="s">
        <v>10</v>
      </c>
      <c r="G123" s="25">
        <v>44802.583287037036</v>
      </c>
      <c r="H123" s="27" t="s">
        <v>30</v>
      </c>
    </row>
    <row r="124" spans="1:8" x14ac:dyDescent="0.25">
      <c r="A124" s="1">
        <v>44803</v>
      </c>
      <c r="B124">
        <v>16132739</v>
      </c>
      <c r="D124" s="27" t="s">
        <v>12</v>
      </c>
      <c r="E124" s="27" t="s">
        <v>250</v>
      </c>
      <c r="F124" s="27" t="s">
        <v>10</v>
      </c>
      <c r="G124" s="25">
        <v>44802.583553240744</v>
      </c>
      <c r="H124" s="27" t="s">
        <v>30</v>
      </c>
    </row>
    <row r="125" spans="1:8" x14ac:dyDescent="0.25">
      <c r="A125" s="1">
        <v>44803</v>
      </c>
      <c r="B125">
        <v>16132607</v>
      </c>
      <c r="D125" s="27" t="s">
        <v>12</v>
      </c>
      <c r="E125" s="27" t="s">
        <v>239</v>
      </c>
      <c r="F125" s="27" t="s">
        <v>10</v>
      </c>
      <c r="G125" s="25">
        <v>44802.583657407406</v>
      </c>
      <c r="H125" s="27" t="s">
        <v>30</v>
      </c>
    </row>
    <row r="126" spans="1:8" x14ac:dyDescent="0.25">
      <c r="A126" s="1">
        <v>44803</v>
      </c>
      <c r="B126">
        <v>16133572</v>
      </c>
      <c r="D126" s="27" t="s">
        <v>12</v>
      </c>
      <c r="E126" s="27" t="s">
        <v>252</v>
      </c>
      <c r="F126" s="27" t="s">
        <v>10</v>
      </c>
      <c r="G126" s="25">
        <v>44802.656504629631</v>
      </c>
      <c r="H126" s="27" t="s">
        <v>30</v>
      </c>
    </row>
    <row r="127" spans="1:8" x14ac:dyDescent="0.25">
      <c r="A127" s="1">
        <v>44803</v>
      </c>
      <c r="B127">
        <v>16133607</v>
      </c>
      <c r="D127" s="27" t="s">
        <v>12</v>
      </c>
      <c r="E127" s="27" t="s">
        <v>253</v>
      </c>
      <c r="F127" s="27" t="s">
        <v>10</v>
      </c>
      <c r="G127" s="25">
        <v>44802.65697916667</v>
      </c>
      <c r="H127" s="27" t="s">
        <v>30</v>
      </c>
    </row>
    <row r="128" spans="1:8" x14ac:dyDescent="0.25">
      <c r="A128" s="1">
        <v>44803</v>
      </c>
      <c r="B128">
        <v>16133635</v>
      </c>
      <c r="D128" s="27" t="s">
        <v>12</v>
      </c>
      <c r="E128" s="27" t="s">
        <v>254</v>
      </c>
      <c r="F128" s="27" t="s">
        <v>10</v>
      </c>
      <c r="G128" s="25">
        <v>44802.657407407409</v>
      </c>
      <c r="H128" s="27" t="s">
        <v>30</v>
      </c>
    </row>
    <row r="129" spans="1:8" x14ac:dyDescent="0.25">
      <c r="A129" s="1">
        <v>44803</v>
      </c>
      <c r="B129">
        <v>16133641</v>
      </c>
      <c r="D129" s="27" t="s">
        <v>12</v>
      </c>
      <c r="E129" s="27" t="s">
        <v>255</v>
      </c>
      <c r="F129" s="27" t="s">
        <v>10</v>
      </c>
      <c r="G129" s="25">
        <v>44802.657696759263</v>
      </c>
      <c r="H129" s="27" t="s">
        <v>30</v>
      </c>
    </row>
    <row r="130" spans="1:8" x14ac:dyDescent="0.25">
      <c r="A130" s="1">
        <v>44803</v>
      </c>
      <c r="B130">
        <v>16126425</v>
      </c>
      <c r="D130" s="27" t="s">
        <v>7</v>
      </c>
      <c r="E130" s="27" t="s">
        <v>261</v>
      </c>
      <c r="F130" s="27" t="s">
        <v>28</v>
      </c>
      <c r="G130" s="25">
        <v>44799.662245370368</v>
      </c>
      <c r="H130" s="27" t="s">
        <v>30</v>
      </c>
    </row>
    <row r="131" spans="1:8" x14ac:dyDescent="0.25">
      <c r="A131" s="1">
        <v>44803</v>
      </c>
      <c r="B131">
        <v>16126370</v>
      </c>
      <c r="D131" s="27" t="s">
        <v>7</v>
      </c>
      <c r="E131" s="27" t="s">
        <v>262</v>
      </c>
      <c r="F131" s="27" t="s">
        <v>10</v>
      </c>
      <c r="G131" s="25">
        <v>44799.658946759257</v>
      </c>
      <c r="H131" s="27" t="s">
        <v>30</v>
      </c>
    </row>
    <row r="132" spans="1:8" x14ac:dyDescent="0.25">
      <c r="A132" s="1">
        <v>44803</v>
      </c>
      <c r="B132">
        <v>16137947</v>
      </c>
      <c r="D132" s="27" t="s">
        <v>7</v>
      </c>
      <c r="E132" s="27" t="s">
        <v>263</v>
      </c>
      <c r="F132" s="27" t="s">
        <v>10</v>
      </c>
      <c r="G132" s="25">
        <v>44803.578761574077</v>
      </c>
      <c r="H132" s="27" t="s">
        <v>30</v>
      </c>
    </row>
    <row r="133" spans="1:8" x14ac:dyDescent="0.25">
      <c r="A133" s="1">
        <v>44803</v>
      </c>
      <c r="B133">
        <v>16138534</v>
      </c>
      <c r="D133" s="27" t="s">
        <v>7</v>
      </c>
      <c r="E133" s="27" t="s">
        <v>264</v>
      </c>
      <c r="F133" s="27" t="s">
        <v>17</v>
      </c>
      <c r="G133" s="25">
        <v>44803.635416666664</v>
      </c>
      <c r="H133" s="27" t="s">
        <v>30</v>
      </c>
    </row>
    <row r="134" spans="1:8" x14ac:dyDescent="0.25">
      <c r="A134" s="1">
        <v>44803</v>
      </c>
      <c r="B134">
        <v>16135845</v>
      </c>
      <c r="D134" s="27" t="s">
        <v>11</v>
      </c>
      <c r="E134" s="27" t="s">
        <v>231</v>
      </c>
      <c r="F134" s="27" t="s">
        <v>10</v>
      </c>
      <c r="G134" s="25">
        <v>44803.370706018519</v>
      </c>
      <c r="H134" s="27" t="s">
        <v>30</v>
      </c>
    </row>
    <row r="135" spans="1:8" x14ac:dyDescent="0.25">
      <c r="A135" s="1">
        <v>44803</v>
      </c>
      <c r="B135">
        <v>16136781</v>
      </c>
      <c r="D135" s="27" t="s">
        <v>14</v>
      </c>
      <c r="E135" s="27" t="s">
        <v>256</v>
      </c>
      <c r="F135" s="27" t="s">
        <v>10</v>
      </c>
      <c r="G135" s="25">
        <v>44803.386041666665</v>
      </c>
      <c r="H135" s="27" t="s">
        <v>30</v>
      </c>
    </row>
    <row r="136" spans="1:8" x14ac:dyDescent="0.25">
      <c r="A136" s="1">
        <v>44803</v>
      </c>
      <c r="B136">
        <v>16132814</v>
      </c>
      <c r="D136" s="27" t="s">
        <v>14</v>
      </c>
      <c r="E136" s="27" t="s">
        <v>265</v>
      </c>
      <c r="F136" s="27" t="s">
        <v>10</v>
      </c>
      <c r="G136" s="25">
        <v>44802.587847222225</v>
      </c>
      <c r="H136" s="27" t="s">
        <v>30</v>
      </c>
    </row>
    <row r="137" spans="1:8" x14ac:dyDescent="0.25">
      <c r="A137" s="1">
        <v>44803</v>
      </c>
      <c r="B137">
        <v>16132891</v>
      </c>
      <c r="D137" s="27" t="s">
        <v>14</v>
      </c>
      <c r="E137" s="27" t="s">
        <v>266</v>
      </c>
      <c r="F137" s="27" t="s">
        <v>10</v>
      </c>
      <c r="G137" s="25">
        <v>44802.592430555553</v>
      </c>
      <c r="H137" s="27" t="s">
        <v>30</v>
      </c>
    </row>
    <row r="138" spans="1:8" x14ac:dyDescent="0.25">
      <c r="A138" s="1">
        <v>44803</v>
      </c>
      <c r="B138">
        <v>16133004</v>
      </c>
      <c r="D138" s="27" t="s">
        <v>11</v>
      </c>
      <c r="E138" s="27" t="s">
        <v>267</v>
      </c>
      <c r="F138" s="27" t="s">
        <v>10</v>
      </c>
      <c r="G138" s="25">
        <v>44802.601111111115</v>
      </c>
      <c r="H138" s="27" t="s">
        <v>30</v>
      </c>
    </row>
    <row r="139" spans="1:8" x14ac:dyDescent="0.25">
      <c r="A139" s="1">
        <v>44803</v>
      </c>
      <c r="B139">
        <v>16133145</v>
      </c>
      <c r="D139" s="27" t="s">
        <v>11</v>
      </c>
      <c r="E139" s="27" t="s">
        <v>268</v>
      </c>
      <c r="F139" s="27" t="s">
        <v>10</v>
      </c>
      <c r="G139" s="25">
        <v>44802.612754629627</v>
      </c>
      <c r="H139" s="27" t="s">
        <v>30</v>
      </c>
    </row>
    <row r="140" spans="1:8" x14ac:dyDescent="0.25">
      <c r="A140" s="1">
        <v>44803</v>
      </c>
      <c r="B140">
        <v>16133188</v>
      </c>
      <c r="D140" s="27" t="s">
        <v>11</v>
      </c>
      <c r="E140" s="27" t="s">
        <v>269</v>
      </c>
      <c r="F140" s="27" t="s">
        <v>28</v>
      </c>
      <c r="G140" s="25">
        <v>44802.616979166669</v>
      </c>
      <c r="H140" s="27" t="s">
        <v>30</v>
      </c>
    </row>
    <row r="141" spans="1:8" x14ac:dyDescent="0.25">
      <c r="A141" s="1">
        <v>44803</v>
      </c>
      <c r="B141">
        <v>16136663</v>
      </c>
      <c r="D141" s="27" t="s">
        <v>11</v>
      </c>
      <c r="E141" s="27" t="s">
        <v>270</v>
      </c>
      <c r="F141" s="27" t="s">
        <v>10</v>
      </c>
      <c r="G141" s="25">
        <v>44802.371423611112</v>
      </c>
      <c r="H141" s="27" t="s">
        <v>30</v>
      </c>
    </row>
    <row r="142" spans="1:8" x14ac:dyDescent="0.25">
      <c r="A142" s="1">
        <v>44803</v>
      </c>
      <c r="B142">
        <v>16133392</v>
      </c>
      <c r="D142" s="27" t="s">
        <v>7</v>
      </c>
      <c r="E142" s="27" t="s">
        <v>260</v>
      </c>
      <c r="F142" s="27" t="s">
        <v>31</v>
      </c>
      <c r="G142" s="25">
        <v>44802.638726851852</v>
      </c>
      <c r="H142" s="27" t="s">
        <v>30</v>
      </c>
    </row>
    <row r="143" spans="1:8" x14ac:dyDescent="0.25">
      <c r="A143" s="1">
        <v>44802</v>
      </c>
      <c r="B143">
        <v>16125433</v>
      </c>
      <c r="D143" s="27" t="s">
        <v>15</v>
      </c>
      <c r="E143" s="27" t="s">
        <v>272</v>
      </c>
      <c r="F143" s="27" t="s">
        <v>10</v>
      </c>
      <c r="G143" s="25">
        <v>44799.606215277781</v>
      </c>
      <c r="H143" s="27" t="s">
        <v>30</v>
      </c>
    </row>
    <row r="144" spans="1:8" x14ac:dyDescent="0.25">
      <c r="A144" s="1">
        <v>44802</v>
      </c>
      <c r="B144">
        <v>16124968</v>
      </c>
      <c r="D144" s="27" t="s">
        <v>7</v>
      </c>
      <c r="E144" s="27" t="s">
        <v>275</v>
      </c>
      <c r="F144" s="27" t="s">
        <v>28</v>
      </c>
      <c r="G144" s="25">
        <v>44799.587187500001</v>
      </c>
      <c r="H144" s="27" t="s">
        <v>30</v>
      </c>
    </row>
    <row r="145" spans="1:8" x14ac:dyDescent="0.25">
      <c r="A145" s="1">
        <v>44802</v>
      </c>
      <c r="B145">
        <v>16098500</v>
      </c>
      <c r="D145" s="27" t="s">
        <v>7</v>
      </c>
      <c r="E145" s="27" t="s">
        <v>276</v>
      </c>
      <c r="F145" s="27" t="s">
        <v>10</v>
      </c>
      <c r="G145" s="25">
        <v>44799.586678240739</v>
      </c>
      <c r="H145" s="27" t="s">
        <v>30</v>
      </c>
    </row>
    <row r="146" spans="1:8" x14ac:dyDescent="0.25">
      <c r="A146" s="1">
        <v>44802</v>
      </c>
      <c r="B146">
        <v>16124367</v>
      </c>
      <c r="D146" s="27" t="s">
        <v>7</v>
      </c>
      <c r="E146" s="27" t="s">
        <v>277</v>
      </c>
      <c r="F146" s="27"/>
      <c r="G146" s="25">
        <v>44799.540937500002</v>
      </c>
      <c r="H146" s="27" t="s">
        <v>30</v>
      </c>
    </row>
    <row r="147" spans="1:8" x14ac:dyDescent="0.25">
      <c r="A147" s="1">
        <v>44802</v>
      </c>
      <c r="B147">
        <v>16126572</v>
      </c>
      <c r="D147" s="27" t="s">
        <v>7</v>
      </c>
      <c r="E147" s="27" t="s">
        <v>278</v>
      </c>
      <c r="F147" s="27" t="s">
        <v>17</v>
      </c>
      <c r="G147" s="25">
        <v>44799.672592592593</v>
      </c>
      <c r="H147" s="27" t="s">
        <v>30</v>
      </c>
    </row>
    <row r="148" spans="1:8" x14ac:dyDescent="0.25">
      <c r="A148" s="1">
        <v>44802</v>
      </c>
      <c r="B148">
        <v>16124980</v>
      </c>
      <c r="D148" s="27" t="s">
        <v>12</v>
      </c>
      <c r="E148" s="27" t="s">
        <v>279</v>
      </c>
      <c r="F148" s="27" t="s">
        <v>10</v>
      </c>
      <c r="G148" s="25">
        <v>44799.593680555554</v>
      </c>
      <c r="H148" s="27" t="s">
        <v>30</v>
      </c>
    </row>
    <row r="149" spans="1:8" x14ac:dyDescent="0.25">
      <c r="A149" s="1">
        <v>44802</v>
      </c>
      <c r="B149">
        <v>16124945</v>
      </c>
      <c r="D149" s="27" t="s">
        <v>12</v>
      </c>
      <c r="E149" s="27" t="s">
        <v>280</v>
      </c>
      <c r="F149" s="27" t="s">
        <v>17</v>
      </c>
      <c r="G149" s="25">
        <v>44799.59337962963</v>
      </c>
      <c r="H149" s="27" t="s">
        <v>30</v>
      </c>
    </row>
    <row r="150" spans="1:8" x14ac:dyDescent="0.25">
      <c r="A150" s="1">
        <v>44802</v>
      </c>
      <c r="B150">
        <v>16124930</v>
      </c>
      <c r="D150" s="27" t="s">
        <v>12</v>
      </c>
      <c r="E150" s="27" t="s">
        <v>281</v>
      </c>
      <c r="F150" s="27" t="s">
        <v>10</v>
      </c>
      <c r="G150" s="25">
        <v>44799.592997685184</v>
      </c>
      <c r="H150" s="27" t="s">
        <v>30</v>
      </c>
    </row>
    <row r="151" spans="1:8" x14ac:dyDescent="0.25">
      <c r="A151" s="1">
        <v>44802</v>
      </c>
      <c r="B151">
        <v>16125227</v>
      </c>
      <c r="D151" s="27" t="s">
        <v>11</v>
      </c>
      <c r="E151" s="27" t="s">
        <v>271</v>
      </c>
      <c r="F151" s="27" t="s">
        <v>10</v>
      </c>
      <c r="G151" s="25">
        <v>44799.593773148146</v>
      </c>
      <c r="H151" s="27" t="s">
        <v>30</v>
      </c>
    </row>
    <row r="152" spans="1:8" x14ac:dyDescent="0.25">
      <c r="A152" s="1">
        <v>44802</v>
      </c>
      <c r="B152">
        <v>16124789</v>
      </c>
      <c r="D152" s="27" t="s">
        <v>11</v>
      </c>
      <c r="E152" s="27" t="s">
        <v>273</v>
      </c>
      <c r="F152" s="27" t="s">
        <v>18</v>
      </c>
      <c r="G152" s="25">
        <v>44799.569050925929</v>
      </c>
      <c r="H152" s="27" t="s">
        <v>30</v>
      </c>
    </row>
    <row r="153" spans="1:8" x14ac:dyDescent="0.25">
      <c r="A153" s="1">
        <v>44802</v>
      </c>
      <c r="B153">
        <v>16130726</v>
      </c>
      <c r="D153" s="27" t="s">
        <v>14</v>
      </c>
      <c r="E153" s="27" t="s">
        <v>274</v>
      </c>
      <c r="F153" s="27" t="s">
        <v>17</v>
      </c>
      <c r="G153" s="25">
        <v>44802.374039351853</v>
      </c>
      <c r="H153" s="27" t="s">
        <v>30</v>
      </c>
    </row>
    <row r="154" spans="1:8" x14ac:dyDescent="0.25">
      <c r="A154" s="1">
        <v>44802</v>
      </c>
      <c r="B154">
        <v>16131122</v>
      </c>
      <c r="D154" s="27" t="s">
        <v>14</v>
      </c>
      <c r="E154" s="27" t="s">
        <v>282</v>
      </c>
      <c r="F154" s="27" t="s">
        <v>10</v>
      </c>
      <c r="G154" s="25">
        <v>44802.403402777774</v>
      </c>
      <c r="H154" s="27" t="s">
        <v>30</v>
      </c>
    </row>
    <row r="155" spans="1:8" x14ac:dyDescent="0.25">
      <c r="A155" s="1">
        <v>44802</v>
      </c>
      <c r="B155">
        <v>16104896</v>
      </c>
      <c r="D155" s="27" t="s">
        <v>14</v>
      </c>
      <c r="E155" s="27" t="s">
        <v>283</v>
      </c>
      <c r="F155" s="27" t="s">
        <v>28</v>
      </c>
      <c r="G155" s="25">
        <v>44802.494143518517</v>
      </c>
      <c r="H155" s="27" t="s">
        <v>30</v>
      </c>
    </row>
    <row r="156" spans="1:8" x14ac:dyDescent="0.25">
      <c r="A156" s="1">
        <v>44802</v>
      </c>
      <c r="B156">
        <v>16125593</v>
      </c>
      <c r="D156" s="27" t="s">
        <v>11</v>
      </c>
      <c r="E156" s="27" t="s">
        <v>284</v>
      </c>
      <c r="F156" s="27" t="s">
        <v>10</v>
      </c>
      <c r="G156" s="25">
        <v>44799.615810185183</v>
      </c>
      <c r="H156" s="27" t="s">
        <v>30</v>
      </c>
    </row>
    <row r="157" spans="1:8" x14ac:dyDescent="0.25">
      <c r="A157" s="1">
        <v>44802</v>
      </c>
      <c r="B157">
        <v>16133584</v>
      </c>
      <c r="D157" s="27" t="s">
        <v>11</v>
      </c>
      <c r="E157" s="27" t="s">
        <v>265</v>
      </c>
      <c r="F157" s="27"/>
      <c r="G157" s="25">
        <v>44802.652743055558</v>
      </c>
      <c r="H157" s="27" t="s">
        <v>30</v>
      </c>
    </row>
    <row r="158" spans="1:8" x14ac:dyDescent="0.25">
      <c r="A158" s="1">
        <v>44802</v>
      </c>
      <c r="B158">
        <v>16125528</v>
      </c>
      <c r="D158" s="27" t="s">
        <v>11</v>
      </c>
      <c r="E158" s="27" t="s">
        <v>285</v>
      </c>
      <c r="F158" s="27" t="s">
        <v>10</v>
      </c>
      <c r="G158" s="25">
        <v>44799.611388888887</v>
      </c>
      <c r="H158" s="27" t="s">
        <v>30</v>
      </c>
    </row>
    <row r="159" spans="1:8" x14ac:dyDescent="0.25">
      <c r="A159" s="1">
        <v>44802</v>
      </c>
      <c r="B159">
        <v>16125405</v>
      </c>
      <c r="D159" s="27" t="s">
        <v>11</v>
      </c>
      <c r="E159" s="27" t="s">
        <v>286</v>
      </c>
      <c r="F159" s="27" t="s">
        <v>10</v>
      </c>
      <c r="G159" s="25">
        <v>44799.604212962964</v>
      </c>
      <c r="H159" s="27" t="s">
        <v>30</v>
      </c>
    </row>
    <row r="160" spans="1:8" x14ac:dyDescent="0.25">
      <c r="A160" s="1">
        <v>44801</v>
      </c>
      <c r="B160">
        <v>16115044</v>
      </c>
      <c r="D160" s="27" t="s">
        <v>11</v>
      </c>
      <c r="E160" s="27" t="s">
        <v>287</v>
      </c>
      <c r="F160" s="27" t="s">
        <v>18</v>
      </c>
      <c r="G160" s="25">
        <v>44797.635092592594</v>
      </c>
      <c r="H160" s="27" t="s">
        <v>30</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0FDE2-9692-4F7C-8B30-08FFC8CFE826}">
  <sheetPr codeName="Planilha4"/>
  <dimension ref="A1:G66"/>
  <sheetViews>
    <sheetView workbookViewId="0"/>
  </sheetViews>
  <sheetFormatPr defaultRowHeight="15" x14ac:dyDescent="0.25"/>
  <cols>
    <col min="1" max="1" width="22.140625" bestFit="1" customWidth="1"/>
    <col min="2" max="2" width="9" bestFit="1" customWidth="1"/>
    <col min="3" max="3" width="18" bestFit="1" customWidth="1"/>
    <col min="4" max="4" width="81.140625" bestFit="1" customWidth="1"/>
    <col min="5" max="5" width="29" bestFit="1" customWidth="1"/>
    <col min="6" max="6" width="8.85546875" bestFit="1" customWidth="1"/>
    <col min="7" max="7" width="20.5703125" bestFit="1" customWidth="1"/>
  </cols>
  <sheetData>
    <row r="1" spans="1:7" x14ac:dyDescent="0.25">
      <c r="A1" t="s">
        <v>0</v>
      </c>
      <c r="B1" t="s">
        <v>1</v>
      </c>
      <c r="C1" t="s">
        <v>2</v>
      </c>
      <c r="D1" t="s">
        <v>3</v>
      </c>
      <c r="E1" t="s">
        <v>4</v>
      </c>
      <c r="F1" t="s">
        <v>5</v>
      </c>
      <c r="G1" t="s">
        <v>6</v>
      </c>
    </row>
    <row r="2" spans="1:7" x14ac:dyDescent="0.25">
      <c r="A2" s="1">
        <v>44810</v>
      </c>
      <c r="B2">
        <v>16161239</v>
      </c>
      <c r="C2" s="27" t="s">
        <v>15</v>
      </c>
      <c r="D2" s="27" t="s">
        <v>649</v>
      </c>
      <c r="E2" s="27" t="s">
        <v>10</v>
      </c>
      <c r="F2" s="27" t="s">
        <v>32</v>
      </c>
      <c r="G2" s="25">
        <v>44809.577476851853</v>
      </c>
    </row>
    <row r="3" spans="1:7" x14ac:dyDescent="0.25">
      <c r="A3" s="1">
        <v>44809</v>
      </c>
      <c r="B3">
        <v>16161237</v>
      </c>
      <c r="C3" s="27" t="s">
        <v>11</v>
      </c>
      <c r="D3" s="27" t="s">
        <v>650</v>
      </c>
      <c r="E3" s="27" t="s">
        <v>17</v>
      </c>
      <c r="F3" s="27" t="s">
        <v>32</v>
      </c>
      <c r="G3" s="25">
        <v>44809.576701388891</v>
      </c>
    </row>
    <row r="4" spans="1:7" x14ac:dyDescent="0.25">
      <c r="A4" s="1">
        <v>44810</v>
      </c>
      <c r="B4">
        <v>16161181</v>
      </c>
      <c r="C4" s="27" t="s">
        <v>7</v>
      </c>
      <c r="D4" s="27" t="s">
        <v>651</v>
      </c>
      <c r="E4" s="27"/>
      <c r="F4" s="27" t="s">
        <v>32</v>
      </c>
      <c r="G4" s="25">
        <v>44809.574074074073</v>
      </c>
    </row>
    <row r="5" spans="1:7" x14ac:dyDescent="0.25">
      <c r="A5" s="1">
        <v>44810</v>
      </c>
      <c r="B5">
        <v>16161106</v>
      </c>
      <c r="C5" s="27" t="s">
        <v>11</v>
      </c>
      <c r="D5" s="27" t="s">
        <v>652</v>
      </c>
      <c r="E5" s="27"/>
      <c r="F5" s="27" t="s">
        <v>32</v>
      </c>
      <c r="G5" s="25">
        <v>44809.570092592592</v>
      </c>
    </row>
    <row r="6" spans="1:7" x14ac:dyDescent="0.25">
      <c r="A6" s="1">
        <v>44809</v>
      </c>
      <c r="B6">
        <v>16161013</v>
      </c>
      <c r="C6" s="27" t="s">
        <v>11</v>
      </c>
      <c r="D6" s="27" t="s">
        <v>55</v>
      </c>
      <c r="E6" s="27" t="s">
        <v>17</v>
      </c>
      <c r="F6" s="27" t="s">
        <v>32</v>
      </c>
      <c r="G6" s="25">
        <v>44809.562638888892</v>
      </c>
    </row>
    <row r="7" spans="1:7" x14ac:dyDescent="0.25">
      <c r="A7" s="1">
        <v>44809</v>
      </c>
      <c r="B7">
        <v>16161006</v>
      </c>
      <c r="C7" s="27" t="s">
        <v>11</v>
      </c>
      <c r="D7" s="27" t="s">
        <v>44</v>
      </c>
      <c r="E7" s="27" t="s">
        <v>17</v>
      </c>
      <c r="F7" s="27" t="s">
        <v>32</v>
      </c>
      <c r="G7" s="25">
        <v>44809.561793981484</v>
      </c>
    </row>
    <row r="8" spans="1:7" x14ac:dyDescent="0.25">
      <c r="A8" s="1">
        <v>44809</v>
      </c>
      <c r="B8">
        <v>16159377</v>
      </c>
      <c r="C8" s="27" t="s">
        <v>12</v>
      </c>
      <c r="D8" s="27" t="s">
        <v>653</v>
      </c>
      <c r="E8" s="27" t="s">
        <v>10</v>
      </c>
      <c r="F8" s="27" t="s">
        <v>32</v>
      </c>
      <c r="G8" s="25">
        <v>44809.380752314813</v>
      </c>
    </row>
    <row r="9" spans="1:7" x14ac:dyDescent="0.25">
      <c r="A9" s="1">
        <v>44809</v>
      </c>
      <c r="B9">
        <v>16159107</v>
      </c>
      <c r="C9" s="27" t="s">
        <v>15</v>
      </c>
      <c r="D9" s="27" t="s">
        <v>654</v>
      </c>
      <c r="E9" s="27" t="s">
        <v>10</v>
      </c>
      <c r="F9" s="27" t="s">
        <v>32</v>
      </c>
      <c r="G9" s="25">
        <v>44809.364884259259</v>
      </c>
    </row>
    <row r="10" spans="1:7" x14ac:dyDescent="0.25">
      <c r="A10" s="1">
        <v>44809</v>
      </c>
      <c r="B10">
        <v>16154345</v>
      </c>
      <c r="C10" s="27" t="s">
        <v>7</v>
      </c>
      <c r="D10" s="27" t="s">
        <v>598</v>
      </c>
      <c r="E10" s="27"/>
      <c r="F10" s="27" t="s">
        <v>32</v>
      </c>
      <c r="G10" s="25">
        <v>44806.628333333334</v>
      </c>
    </row>
    <row r="11" spans="1:7" x14ac:dyDescent="0.25">
      <c r="A11" s="1">
        <v>44809</v>
      </c>
      <c r="B11">
        <v>16154310</v>
      </c>
      <c r="C11" s="27" t="s">
        <v>7</v>
      </c>
      <c r="D11" s="27" t="s">
        <v>599</v>
      </c>
      <c r="E11" s="27" t="s">
        <v>10</v>
      </c>
      <c r="F11" s="27" t="s">
        <v>32</v>
      </c>
      <c r="G11" s="25">
        <v>44806.62777777778</v>
      </c>
    </row>
    <row r="12" spans="1:7" x14ac:dyDescent="0.25">
      <c r="A12" s="1">
        <v>44809</v>
      </c>
      <c r="B12">
        <v>16154369</v>
      </c>
      <c r="C12" s="27" t="s">
        <v>11</v>
      </c>
      <c r="D12" s="27" t="s">
        <v>576</v>
      </c>
      <c r="E12" s="27" t="s">
        <v>10</v>
      </c>
      <c r="F12" s="27" t="s">
        <v>32</v>
      </c>
      <c r="G12" s="25">
        <v>44806.625497685185</v>
      </c>
    </row>
    <row r="13" spans="1:7" x14ac:dyDescent="0.25">
      <c r="A13" s="1">
        <v>44809</v>
      </c>
      <c r="B13">
        <v>16154317</v>
      </c>
      <c r="C13" s="27" t="s">
        <v>11</v>
      </c>
      <c r="D13" s="27" t="s">
        <v>577</v>
      </c>
      <c r="E13" s="27" t="s">
        <v>10</v>
      </c>
      <c r="F13" s="27" t="s">
        <v>32</v>
      </c>
      <c r="G13" s="25">
        <v>44806.623055555552</v>
      </c>
    </row>
    <row r="14" spans="1:7" x14ac:dyDescent="0.25">
      <c r="A14" s="1">
        <v>44809</v>
      </c>
      <c r="B14">
        <v>16154292</v>
      </c>
      <c r="C14" s="27" t="s">
        <v>11</v>
      </c>
      <c r="D14" s="27" t="s">
        <v>578</v>
      </c>
      <c r="E14" s="27" t="s">
        <v>10</v>
      </c>
      <c r="F14" s="27" t="s">
        <v>32</v>
      </c>
      <c r="G14" s="25">
        <v>44806.621145833335</v>
      </c>
    </row>
    <row r="15" spans="1:7" x14ac:dyDescent="0.25">
      <c r="A15" s="1">
        <v>44809</v>
      </c>
      <c r="B15">
        <v>16154268</v>
      </c>
      <c r="C15" s="27" t="s">
        <v>11</v>
      </c>
      <c r="D15" s="27" t="s">
        <v>579</v>
      </c>
      <c r="E15" s="27" t="s">
        <v>10</v>
      </c>
      <c r="F15" s="27" t="s">
        <v>32</v>
      </c>
      <c r="G15" s="25">
        <v>44806.62</v>
      </c>
    </row>
    <row r="16" spans="1:7" x14ac:dyDescent="0.25">
      <c r="A16" s="1">
        <v>44809</v>
      </c>
      <c r="B16">
        <v>16154213</v>
      </c>
      <c r="C16" s="27" t="s">
        <v>7</v>
      </c>
      <c r="D16" s="27" t="s">
        <v>580</v>
      </c>
      <c r="E16" s="27"/>
      <c r="F16" s="27" t="s">
        <v>32</v>
      </c>
      <c r="G16" s="25">
        <v>44806.618923611109</v>
      </c>
    </row>
    <row r="17" spans="1:7" x14ac:dyDescent="0.25">
      <c r="A17" s="1">
        <v>44809</v>
      </c>
      <c r="B17">
        <v>16154168</v>
      </c>
      <c r="C17" s="27" t="s">
        <v>11</v>
      </c>
      <c r="D17" s="27" t="s">
        <v>294</v>
      </c>
      <c r="E17" s="27" t="s">
        <v>10</v>
      </c>
      <c r="F17" s="27" t="s">
        <v>32</v>
      </c>
      <c r="G17" s="25">
        <v>44806.615972222222</v>
      </c>
    </row>
    <row r="18" spans="1:7" x14ac:dyDescent="0.25">
      <c r="A18" s="1">
        <v>44809</v>
      </c>
      <c r="B18">
        <v>16153915</v>
      </c>
      <c r="C18" s="27" t="s">
        <v>7</v>
      </c>
      <c r="D18" s="27" t="s">
        <v>581</v>
      </c>
      <c r="E18" s="27" t="s">
        <v>10</v>
      </c>
      <c r="F18" s="27" t="s">
        <v>32</v>
      </c>
      <c r="G18" s="25">
        <v>44806.608229166668</v>
      </c>
    </row>
    <row r="19" spans="1:7" x14ac:dyDescent="0.25">
      <c r="A19" s="1">
        <v>44806</v>
      </c>
      <c r="B19">
        <v>16153478</v>
      </c>
      <c r="C19" s="27" t="s">
        <v>15</v>
      </c>
      <c r="D19" s="27" t="s">
        <v>582</v>
      </c>
      <c r="E19" s="27" t="s">
        <v>10</v>
      </c>
      <c r="F19" s="27" t="s">
        <v>32</v>
      </c>
      <c r="G19" s="25">
        <v>44806.579780092594</v>
      </c>
    </row>
    <row r="20" spans="1:7" x14ac:dyDescent="0.25">
      <c r="A20" s="1">
        <v>44809</v>
      </c>
      <c r="B20">
        <v>16152219</v>
      </c>
      <c r="C20" s="27" t="s">
        <v>7</v>
      </c>
      <c r="D20" s="27" t="s">
        <v>583</v>
      </c>
      <c r="E20" s="27" t="s">
        <v>10</v>
      </c>
      <c r="F20" s="27" t="s">
        <v>32</v>
      </c>
      <c r="G20" s="25">
        <v>44806.518993055557</v>
      </c>
    </row>
    <row r="21" spans="1:7" x14ac:dyDescent="0.25">
      <c r="A21" s="1">
        <v>44806</v>
      </c>
      <c r="B21">
        <v>16149225</v>
      </c>
      <c r="C21" s="27" t="s">
        <v>7</v>
      </c>
      <c r="D21" s="27" t="s">
        <v>584</v>
      </c>
      <c r="E21" s="27" t="s">
        <v>10</v>
      </c>
      <c r="F21" s="27" t="s">
        <v>32</v>
      </c>
      <c r="G21" s="25">
        <v>44805.705717592595</v>
      </c>
    </row>
    <row r="22" spans="1:7" x14ac:dyDescent="0.25">
      <c r="A22" s="1">
        <v>44806</v>
      </c>
      <c r="B22">
        <v>16147624</v>
      </c>
      <c r="C22" s="27" t="s">
        <v>12</v>
      </c>
      <c r="D22" s="27" t="s">
        <v>326</v>
      </c>
      <c r="E22" s="27" t="s">
        <v>10</v>
      </c>
      <c r="F22" s="27" t="s">
        <v>32</v>
      </c>
      <c r="G22" s="25">
        <v>44805.567164351851</v>
      </c>
    </row>
    <row r="23" spans="1:7" x14ac:dyDescent="0.25">
      <c r="A23" s="1">
        <v>44805</v>
      </c>
      <c r="B23">
        <v>16145884</v>
      </c>
      <c r="C23" s="27" t="s">
        <v>11</v>
      </c>
      <c r="D23" s="27" t="s">
        <v>292</v>
      </c>
      <c r="E23" s="27" t="s">
        <v>10</v>
      </c>
      <c r="F23" s="27" t="s">
        <v>32</v>
      </c>
      <c r="G23" s="25">
        <v>44805.347800925927</v>
      </c>
    </row>
    <row r="24" spans="1:7" x14ac:dyDescent="0.25">
      <c r="A24" s="1">
        <v>44805</v>
      </c>
      <c r="B24">
        <v>16145654</v>
      </c>
      <c r="C24" s="27" t="s">
        <v>14</v>
      </c>
      <c r="D24" s="27" t="s">
        <v>293</v>
      </c>
      <c r="E24" s="27" t="s">
        <v>10</v>
      </c>
      <c r="F24" s="27" t="s">
        <v>32</v>
      </c>
      <c r="G24" s="25">
        <v>44805.334965277776</v>
      </c>
    </row>
    <row r="25" spans="1:7" x14ac:dyDescent="0.25">
      <c r="A25" s="1">
        <v>44805</v>
      </c>
      <c r="B25">
        <v>16143136</v>
      </c>
      <c r="C25" s="27" t="s">
        <v>11</v>
      </c>
      <c r="D25" s="27" t="s">
        <v>294</v>
      </c>
      <c r="E25" s="27" t="s">
        <v>10</v>
      </c>
      <c r="F25" s="27" t="s">
        <v>32</v>
      </c>
      <c r="G25" s="25">
        <v>44804.59170138889</v>
      </c>
    </row>
    <row r="26" spans="1:7" x14ac:dyDescent="0.25">
      <c r="A26" s="1">
        <v>44804</v>
      </c>
      <c r="B26">
        <v>16143004</v>
      </c>
      <c r="C26" s="27" t="s">
        <v>14</v>
      </c>
      <c r="D26" s="27" t="s">
        <v>295</v>
      </c>
      <c r="E26" s="27" t="s">
        <v>10</v>
      </c>
      <c r="F26" s="27" t="s">
        <v>32</v>
      </c>
      <c r="G26" s="25">
        <v>44804.580567129633</v>
      </c>
    </row>
    <row r="27" spans="1:7" x14ac:dyDescent="0.25">
      <c r="A27" s="1">
        <v>44805</v>
      </c>
      <c r="B27">
        <v>16142818</v>
      </c>
      <c r="C27" s="27" t="s">
        <v>14</v>
      </c>
      <c r="D27" s="27" t="s">
        <v>296</v>
      </c>
      <c r="E27" s="27" t="s">
        <v>10</v>
      </c>
      <c r="F27" s="27" t="s">
        <v>32</v>
      </c>
      <c r="G27" s="25">
        <v>44804.566481481481</v>
      </c>
    </row>
    <row r="28" spans="1:7" x14ac:dyDescent="0.25">
      <c r="A28" s="1">
        <v>44805</v>
      </c>
      <c r="B28">
        <v>16142706</v>
      </c>
      <c r="C28" s="27" t="s">
        <v>15</v>
      </c>
      <c r="D28" s="27" t="s">
        <v>297</v>
      </c>
      <c r="E28" s="27" t="s">
        <v>31</v>
      </c>
      <c r="F28" s="27" t="s">
        <v>32</v>
      </c>
      <c r="G28" s="25">
        <v>44804.559664351851</v>
      </c>
    </row>
    <row r="29" spans="1:7" x14ac:dyDescent="0.25">
      <c r="A29" s="1">
        <v>44804</v>
      </c>
      <c r="B29">
        <v>16141157</v>
      </c>
      <c r="C29" s="27" t="s">
        <v>7</v>
      </c>
      <c r="D29" s="27" t="s">
        <v>298</v>
      </c>
      <c r="E29" s="27" t="s">
        <v>28</v>
      </c>
      <c r="F29" s="27" t="s">
        <v>32</v>
      </c>
      <c r="G29" s="25">
        <v>44804.37431712963</v>
      </c>
    </row>
    <row r="30" spans="1:7" x14ac:dyDescent="0.25">
      <c r="A30" s="1">
        <v>44804</v>
      </c>
      <c r="B30">
        <v>16140720</v>
      </c>
      <c r="C30" s="27" t="s">
        <v>12</v>
      </c>
      <c r="D30" s="27" t="s">
        <v>299</v>
      </c>
      <c r="E30" s="27" t="s">
        <v>28</v>
      </c>
      <c r="F30" s="27" t="s">
        <v>32</v>
      </c>
      <c r="G30" s="25">
        <v>44804.34915509259</v>
      </c>
    </row>
    <row r="31" spans="1:7" x14ac:dyDescent="0.25">
      <c r="A31" s="1">
        <v>44804</v>
      </c>
      <c r="B31">
        <v>16138827</v>
      </c>
      <c r="C31" s="27" t="s">
        <v>7</v>
      </c>
      <c r="D31" s="27" t="s">
        <v>300</v>
      </c>
      <c r="E31" s="27" t="s">
        <v>28</v>
      </c>
      <c r="F31" s="27" t="s">
        <v>32</v>
      </c>
      <c r="G31" s="25">
        <v>44803.66207175926</v>
      </c>
    </row>
    <row r="32" spans="1:7" x14ac:dyDescent="0.25">
      <c r="A32" s="1">
        <v>44804</v>
      </c>
      <c r="B32">
        <v>16138961</v>
      </c>
      <c r="C32" s="27" t="s">
        <v>14</v>
      </c>
      <c r="D32" s="27" t="s">
        <v>301</v>
      </c>
      <c r="E32" s="27" t="s">
        <v>10</v>
      </c>
      <c r="F32" s="27" t="s">
        <v>32</v>
      </c>
      <c r="G32" s="25">
        <v>44803.642893518518</v>
      </c>
    </row>
    <row r="33" spans="1:7" x14ac:dyDescent="0.25">
      <c r="A33" s="1">
        <v>44803</v>
      </c>
      <c r="B33">
        <v>16138497</v>
      </c>
      <c r="C33" s="27" t="s">
        <v>11</v>
      </c>
      <c r="D33" s="27" t="s">
        <v>302</v>
      </c>
      <c r="E33" s="27" t="s">
        <v>10</v>
      </c>
      <c r="F33" s="27" t="s">
        <v>32</v>
      </c>
      <c r="G33" s="25">
        <v>44803.629895833335</v>
      </c>
    </row>
    <row r="34" spans="1:7" x14ac:dyDescent="0.25">
      <c r="A34" s="1">
        <v>44803</v>
      </c>
      <c r="B34">
        <v>16138187</v>
      </c>
      <c r="C34" s="27" t="s">
        <v>14</v>
      </c>
      <c r="D34" s="27" t="s">
        <v>303</v>
      </c>
      <c r="E34" s="27" t="s">
        <v>28</v>
      </c>
      <c r="F34" s="27" t="s">
        <v>32</v>
      </c>
      <c r="G34" s="25">
        <v>44803.602731481478</v>
      </c>
    </row>
    <row r="35" spans="1:7" x14ac:dyDescent="0.25">
      <c r="A35" s="1">
        <v>44804</v>
      </c>
      <c r="B35">
        <v>16138123</v>
      </c>
      <c r="C35" s="27" t="s">
        <v>12</v>
      </c>
      <c r="D35" s="27" t="s">
        <v>304</v>
      </c>
      <c r="E35" s="27" t="s">
        <v>28</v>
      </c>
      <c r="F35" s="27" t="s">
        <v>32</v>
      </c>
      <c r="G35" s="25">
        <v>44803.596400462964</v>
      </c>
    </row>
    <row r="36" spans="1:7" x14ac:dyDescent="0.25">
      <c r="A36" s="1">
        <v>44804</v>
      </c>
      <c r="B36">
        <v>16138029</v>
      </c>
      <c r="C36" s="27" t="s">
        <v>11</v>
      </c>
      <c r="D36" s="27" t="s">
        <v>54</v>
      </c>
      <c r="E36" s="27" t="s">
        <v>10</v>
      </c>
      <c r="F36" s="27" t="s">
        <v>32</v>
      </c>
      <c r="G36" s="25">
        <v>44803.586886574078</v>
      </c>
    </row>
    <row r="37" spans="1:7" x14ac:dyDescent="0.25">
      <c r="A37" s="1">
        <v>44804</v>
      </c>
      <c r="B37">
        <v>16137758</v>
      </c>
      <c r="C37" s="27" t="s">
        <v>7</v>
      </c>
      <c r="D37" s="27" t="s">
        <v>305</v>
      </c>
      <c r="E37" s="27" t="s">
        <v>10</v>
      </c>
      <c r="F37" s="27" t="s">
        <v>32</v>
      </c>
      <c r="G37" s="25">
        <v>44803.563807870371</v>
      </c>
    </row>
    <row r="38" spans="1:7" x14ac:dyDescent="0.25">
      <c r="A38" s="1">
        <v>44803</v>
      </c>
      <c r="B38">
        <v>16124932</v>
      </c>
      <c r="C38" s="27" t="s">
        <v>11</v>
      </c>
      <c r="D38" s="27" t="s">
        <v>306</v>
      </c>
      <c r="E38" s="27" t="s">
        <v>28</v>
      </c>
      <c r="F38" s="27" t="s">
        <v>32</v>
      </c>
      <c r="G38" s="25">
        <v>44803.416377314818</v>
      </c>
    </row>
    <row r="39" spans="1:7" x14ac:dyDescent="0.25">
      <c r="A39" s="1">
        <v>44803</v>
      </c>
      <c r="B39">
        <v>16135908</v>
      </c>
      <c r="C39" s="27" t="s">
        <v>14</v>
      </c>
      <c r="D39" s="27" t="s">
        <v>307</v>
      </c>
      <c r="E39" s="27" t="s">
        <v>10</v>
      </c>
      <c r="F39" s="27" t="s">
        <v>32</v>
      </c>
      <c r="G39" s="25">
        <v>44803.374884259261</v>
      </c>
    </row>
    <row r="40" spans="1:7" x14ac:dyDescent="0.25">
      <c r="A40" s="1">
        <v>44803</v>
      </c>
      <c r="B40">
        <v>16135883</v>
      </c>
      <c r="C40" s="27" t="s">
        <v>14</v>
      </c>
      <c r="D40" s="27" t="s">
        <v>308</v>
      </c>
      <c r="E40" s="27" t="s">
        <v>31</v>
      </c>
      <c r="F40" s="27" t="s">
        <v>32</v>
      </c>
      <c r="G40" s="25">
        <v>44803.373564814814</v>
      </c>
    </row>
    <row r="41" spans="1:7" x14ac:dyDescent="0.25">
      <c r="A41" s="1">
        <v>44803</v>
      </c>
      <c r="B41">
        <v>16135798</v>
      </c>
      <c r="C41" s="27" t="s">
        <v>11</v>
      </c>
      <c r="D41" s="27" t="s">
        <v>309</v>
      </c>
      <c r="E41" s="27" t="s">
        <v>10</v>
      </c>
      <c r="F41" s="27" t="s">
        <v>32</v>
      </c>
      <c r="G41" s="25">
        <v>44803.366516203707</v>
      </c>
    </row>
    <row r="42" spans="1:7" x14ac:dyDescent="0.25">
      <c r="A42" s="1">
        <v>44802</v>
      </c>
      <c r="B42">
        <v>16132387</v>
      </c>
      <c r="C42" s="27" t="s">
        <v>7</v>
      </c>
      <c r="D42" s="27" t="s">
        <v>310</v>
      </c>
      <c r="E42" s="27" t="s">
        <v>28</v>
      </c>
      <c r="F42" s="27" t="s">
        <v>32</v>
      </c>
      <c r="G42" s="25">
        <v>44802.64435185185</v>
      </c>
    </row>
    <row r="43" spans="1:7" x14ac:dyDescent="0.25">
      <c r="A43" s="1">
        <v>44803</v>
      </c>
      <c r="B43">
        <v>16133031</v>
      </c>
      <c r="C43" s="27" t="s">
        <v>11</v>
      </c>
      <c r="D43" s="27" t="s">
        <v>311</v>
      </c>
      <c r="E43" s="27" t="s">
        <v>10</v>
      </c>
      <c r="F43" s="27" t="s">
        <v>32</v>
      </c>
      <c r="G43" s="25">
        <v>44802.602453703701</v>
      </c>
    </row>
    <row r="44" spans="1:7" x14ac:dyDescent="0.25">
      <c r="A44" s="1">
        <v>44803</v>
      </c>
      <c r="B44">
        <v>16131058</v>
      </c>
      <c r="C44" s="27" t="s">
        <v>7</v>
      </c>
      <c r="D44" s="27" t="s">
        <v>312</v>
      </c>
      <c r="E44" s="27" t="s">
        <v>10</v>
      </c>
      <c r="F44" s="27" t="s">
        <v>32</v>
      </c>
      <c r="G44" s="25">
        <v>44802.555810185186</v>
      </c>
    </row>
    <row r="45" spans="1:7" x14ac:dyDescent="0.25">
      <c r="A45" s="1">
        <v>44803</v>
      </c>
      <c r="B45">
        <v>16132006</v>
      </c>
      <c r="C45" s="27" t="s">
        <v>11</v>
      </c>
      <c r="D45" s="27" t="s">
        <v>313</v>
      </c>
      <c r="E45" s="27" t="s">
        <v>10</v>
      </c>
      <c r="F45" s="27" t="s">
        <v>32</v>
      </c>
      <c r="G45" s="25">
        <v>44802.495763888888</v>
      </c>
    </row>
    <row r="46" spans="1:7" x14ac:dyDescent="0.25">
      <c r="A46" s="1">
        <v>44803</v>
      </c>
      <c r="B46">
        <v>16132003</v>
      </c>
      <c r="C46" s="27" t="s">
        <v>11</v>
      </c>
      <c r="D46" s="27" t="s">
        <v>314</v>
      </c>
      <c r="E46" s="27" t="s">
        <v>10</v>
      </c>
      <c r="F46" s="27" t="s">
        <v>32</v>
      </c>
      <c r="G46" s="25">
        <v>44802.494641203702</v>
      </c>
    </row>
    <row r="47" spans="1:7" x14ac:dyDescent="0.25">
      <c r="A47" s="1">
        <v>44802</v>
      </c>
      <c r="B47">
        <v>16126299</v>
      </c>
      <c r="C47" s="27" t="s">
        <v>12</v>
      </c>
      <c r="D47" s="27" t="s">
        <v>315</v>
      </c>
      <c r="E47" s="27" t="s">
        <v>31</v>
      </c>
      <c r="F47" s="27" t="s">
        <v>32</v>
      </c>
      <c r="G47" s="25">
        <v>44799.655358796299</v>
      </c>
    </row>
    <row r="48" spans="1:7" x14ac:dyDescent="0.25">
      <c r="A48" s="1">
        <v>44802</v>
      </c>
      <c r="B48">
        <v>16126086</v>
      </c>
      <c r="C48" s="27" t="s">
        <v>12</v>
      </c>
      <c r="D48" s="27" t="s">
        <v>316</v>
      </c>
      <c r="E48" s="27" t="s">
        <v>10</v>
      </c>
      <c r="F48" s="27" t="s">
        <v>32</v>
      </c>
      <c r="G48" s="25">
        <v>44799.655057870368</v>
      </c>
    </row>
    <row r="49" spans="1:7" x14ac:dyDescent="0.25">
      <c r="A49" s="1">
        <v>44802</v>
      </c>
      <c r="B49">
        <v>16125793</v>
      </c>
      <c r="C49" s="27" t="s">
        <v>14</v>
      </c>
      <c r="D49" s="27" t="s">
        <v>317</v>
      </c>
      <c r="E49" s="27" t="s">
        <v>28</v>
      </c>
      <c r="F49" s="27" t="s">
        <v>32</v>
      </c>
      <c r="G49" s="25">
        <v>44799.624849537038</v>
      </c>
    </row>
    <row r="50" spans="1:7" x14ac:dyDescent="0.25">
      <c r="A50" s="1">
        <v>44802</v>
      </c>
      <c r="B50">
        <v>16125769</v>
      </c>
      <c r="C50" s="27" t="s">
        <v>14</v>
      </c>
      <c r="D50" s="27" t="s">
        <v>295</v>
      </c>
      <c r="E50" s="27" t="s">
        <v>31</v>
      </c>
      <c r="F50" s="27" t="s">
        <v>32</v>
      </c>
      <c r="G50" s="25">
        <v>44799.623483796298</v>
      </c>
    </row>
    <row r="51" spans="1:7" x14ac:dyDescent="0.25">
      <c r="A51" s="1">
        <v>44802</v>
      </c>
      <c r="B51">
        <v>16125342</v>
      </c>
      <c r="C51" s="27" t="s">
        <v>14</v>
      </c>
      <c r="D51" s="27" t="s">
        <v>308</v>
      </c>
      <c r="E51" s="27" t="s">
        <v>31</v>
      </c>
      <c r="F51" s="27" t="s">
        <v>32</v>
      </c>
      <c r="G51" s="25">
        <v>44799.599490740744</v>
      </c>
    </row>
    <row r="52" spans="1:7" x14ac:dyDescent="0.25">
      <c r="A52" s="1">
        <v>44802</v>
      </c>
      <c r="B52">
        <v>16125265</v>
      </c>
      <c r="C52" s="27" t="s">
        <v>15</v>
      </c>
      <c r="D52" s="27" t="s">
        <v>318</v>
      </c>
      <c r="E52" s="27" t="s">
        <v>28</v>
      </c>
      <c r="F52" s="27" t="s">
        <v>32</v>
      </c>
      <c r="G52" s="25">
        <v>44799.59646990741</v>
      </c>
    </row>
    <row r="53" spans="1:7" x14ac:dyDescent="0.25">
      <c r="A53" s="1">
        <v>44802</v>
      </c>
      <c r="B53">
        <v>16125228</v>
      </c>
      <c r="C53" s="27" t="s">
        <v>11</v>
      </c>
      <c r="D53" s="27" t="s">
        <v>54</v>
      </c>
      <c r="E53" s="27" t="s">
        <v>10</v>
      </c>
      <c r="F53" s="27" t="s">
        <v>32</v>
      </c>
      <c r="G53" s="25">
        <v>44799.593333333331</v>
      </c>
    </row>
    <row r="54" spans="1:7" x14ac:dyDescent="0.25">
      <c r="A54" s="1">
        <v>44802</v>
      </c>
      <c r="B54">
        <v>16124932</v>
      </c>
      <c r="C54" s="27" t="s">
        <v>11</v>
      </c>
      <c r="D54" s="27" t="s">
        <v>319</v>
      </c>
      <c r="E54" s="27" t="s">
        <v>10</v>
      </c>
      <c r="F54" s="27" t="s">
        <v>32</v>
      </c>
      <c r="G54" s="25">
        <v>44799.576064814813</v>
      </c>
    </row>
    <row r="55" spans="1:7" x14ac:dyDescent="0.25">
      <c r="A55" s="1">
        <v>44802</v>
      </c>
      <c r="B55">
        <v>16124903</v>
      </c>
      <c r="C55" s="27" t="s">
        <v>11</v>
      </c>
      <c r="D55" s="27" t="s">
        <v>311</v>
      </c>
      <c r="E55" s="27" t="s">
        <v>28</v>
      </c>
      <c r="F55" s="27" t="s">
        <v>32</v>
      </c>
      <c r="G55" s="25">
        <v>44799.574895833335</v>
      </c>
    </row>
    <row r="56" spans="1:7" x14ac:dyDescent="0.25">
      <c r="A56" s="1">
        <v>44802</v>
      </c>
      <c r="B56">
        <v>16124886</v>
      </c>
      <c r="C56" s="27" t="s">
        <v>11</v>
      </c>
      <c r="D56" s="27" t="s">
        <v>320</v>
      </c>
      <c r="E56" s="27" t="s">
        <v>10</v>
      </c>
      <c r="F56" s="27" t="s">
        <v>32</v>
      </c>
      <c r="G56" s="25">
        <v>44799.573831018519</v>
      </c>
    </row>
    <row r="57" spans="1:7" x14ac:dyDescent="0.25">
      <c r="A57" s="1">
        <v>44802</v>
      </c>
      <c r="B57">
        <v>16124864</v>
      </c>
      <c r="C57" s="27" t="s">
        <v>11</v>
      </c>
      <c r="D57" s="27" t="s">
        <v>321</v>
      </c>
      <c r="E57" s="27" t="s">
        <v>28</v>
      </c>
      <c r="F57" s="27" t="s">
        <v>32</v>
      </c>
      <c r="G57" s="25">
        <v>44799.572418981479</v>
      </c>
    </row>
    <row r="58" spans="1:7" x14ac:dyDescent="0.25">
      <c r="A58" s="1">
        <v>44802</v>
      </c>
      <c r="B58">
        <v>16123890</v>
      </c>
      <c r="C58" s="27" t="s">
        <v>12</v>
      </c>
      <c r="D58" s="27" t="s">
        <v>322</v>
      </c>
      <c r="E58" s="27" t="s">
        <v>28</v>
      </c>
      <c r="F58" s="27" t="s">
        <v>32</v>
      </c>
      <c r="G58" s="25">
        <v>44799.558483796296</v>
      </c>
    </row>
    <row r="59" spans="1:7" x14ac:dyDescent="0.25">
      <c r="A59" s="1">
        <v>44802</v>
      </c>
      <c r="B59">
        <v>16124351</v>
      </c>
      <c r="C59" s="27" t="s">
        <v>7</v>
      </c>
      <c r="D59" s="27" t="s">
        <v>323</v>
      </c>
      <c r="E59" s="27" t="s">
        <v>28</v>
      </c>
      <c r="F59" s="27" t="s">
        <v>32</v>
      </c>
      <c r="G59" s="25">
        <v>44799.539548611108</v>
      </c>
    </row>
    <row r="60" spans="1:7" x14ac:dyDescent="0.25">
      <c r="A60" s="1">
        <v>44802</v>
      </c>
      <c r="B60">
        <v>16123967</v>
      </c>
      <c r="C60" s="27" t="s">
        <v>7</v>
      </c>
      <c r="D60" s="27" t="s">
        <v>324</v>
      </c>
      <c r="E60" s="27" t="s">
        <v>28</v>
      </c>
      <c r="F60" s="27" t="s">
        <v>32</v>
      </c>
      <c r="G60" s="25">
        <v>44799.531099537038</v>
      </c>
    </row>
    <row r="61" spans="1:7" x14ac:dyDescent="0.25">
      <c r="A61" s="1">
        <v>44802</v>
      </c>
      <c r="B61">
        <v>16124334</v>
      </c>
      <c r="C61" s="27" t="s">
        <v>7</v>
      </c>
      <c r="D61" s="27" t="s">
        <v>325</v>
      </c>
      <c r="E61" s="27" t="s">
        <v>28</v>
      </c>
      <c r="F61" s="27" t="s">
        <v>32</v>
      </c>
      <c r="G61" s="25">
        <v>44799.530601851853</v>
      </c>
    </row>
    <row r="62" spans="1:7" x14ac:dyDescent="0.25">
      <c r="A62" s="1">
        <v>44810</v>
      </c>
      <c r="B62">
        <v>16161501</v>
      </c>
      <c r="C62" s="27" t="s">
        <v>12</v>
      </c>
      <c r="D62" s="27" t="s">
        <v>655</v>
      </c>
      <c r="E62" s="27"/>
      <c r="F62" s="27" t="s">
        <v>32</v>
      </c>
      <c r="G62" s="25">
        <v>44809.601666666669</v>
      </c>
    </row>
    <row r="63" spans="1:7" x14ac:dyDescent="0.25">
      <c r="A63" s="1">
        <v>44810</v>
      </c>
      <c r="B63">
        <v>16161476</v>
      </c>
      <c r="C63" s="27" t="s">
        <v>12</v>
      </c>
      <c r="D63" s="27" t="s">
        <v>656</v>
      </c>
      <c r="E63" s="27"/>
      <c r="F63" s="27" t="s">
        <v>32</v>
      </c>
      <c r="G63" s="25">
        <v>44809.601990740739</v>
      </c>
    </row>
    <row r="64" spans="1:7" x14ac:dyDescent="0.25">
      <c r="A64" s="1">
        <v>44810</v>
      </c>
      <c r="B64">
        <v>16161560</v>
      </c>
      <c r="C64" s="27" t="s">
        <v>11</v>
      </c>
      <c r="D64" s="27" t="s">
        <v>44</v>
      </c>
      <c r="E64" s="27"/>
      <c r="F64" s="27" t="s">
        <v>32</v>
      </c>
      <c r="G64" s="25">
        <v>44809.604108796295</v>
      </c>
    </row>
    <row r="65" spans="1:7" x14ac:dyDescent="0.25">
      <c r="A65" s="1">
        <v>44810</v>
      </c>
      <c r="B65">
        <v>16161575</v>
      </c>
      <c r="C65" s="27" t="s">
        <v>11</v>
      </c>
      <c r="D65" s="27" t="s">
        <v>650</v>
      </c>
      <c r="E65" s="27"/>
      <c r="F65" s="27" t="s">
        <v>32</v>
      </c>
      <c r="G65" s="25">
        <v>44809.605023148149</v>
      </c>
    </row>
    <row r="66" spans="1:7" x14ac:dyDescent="0.25">
      <c r="A66" s="1">
        <v>44810</v>
      </c>
      <c r="B66">
        <v>16161618</v>
      </c>
      <c r="C66" s="27" t="s">
        <v>11</v>
      </c>
      <c r="D66" s="27" t="s">
        <v>657</v>
      </c>
      <c r="E66" s="27"/>
      <c r="F66" s="27" t="s">
        <v>32</v>
      </c>
      <c r="G66" s="25">
        <v>44809.608171296299</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AEC56-CA63-42E4-AC82-C5C9013F7A3E}">
  <sheetPr codeName="Planilha5"/>
  <dimension ref="A1:G96"/>
  <sheetViews>
    <sheetView workbookViewId="0">
      <selection activeCell="D13" sqref="D13"/>
    </sheetView>
  </sheetViews>
  <sheetFormatPr defaultRowHeight="15" x14ac:dyDescent="0.25"/>
  <cols>
    <col min="1" max="1" width="22.140625" bestFit="1" customWidth="1"/>
    <col min="2" max="2" width="9" bestFit="1" customWidth="1"/>
    <col min="3" max="3" width="18" bestFit="1" customWidth="1"/>
    <col min="4" max="4" width="81.140625" bestFit="1" customWidth="1"/>
    <col min="5" max="5" width="24.28515625" bestFit="1" customWidth="1"/>
    <col min="6" max="6" width="8.85546875" bestFit="1" customWidth="1"/>
    <col min="7" max="7" width="20.5703125" bestFit="1" customWidth="1"/>
    <col min="8" max="8" width="8.85546875" bestFit="1" customWidth="1"/>
  </cols>
  <sheetData>
    <row r="1" spans="1:7" x14ac:dyDescent="0.25">
      <c r="A1" t="s">
        <v>0</v>
      </c>
      <c r="B1" t="s">
        <v>1</v>
      </c>
      <c r="C1" t="s">
        <v>2</v>
      </c>
      <c r="D1" t="s">
        <v>3</v>
      </c>
      <c r="E1" t="s">
        <v>4</v>
      </c>
      <c r="F1" t="s">
        <v>5</v>
      </c>
      <c r="G1" t="s">
        <v>6</v>
      </c>
    </row>
    <row r="2" spans="1:7" x14ac:dyDescent="0.25">
      <c r="A2" s="1">
        <v>44810</v>
      </c>
      <c r="B2">
        <v>16159962</v>
      </c>
      <c r="C2" s="27" t="s">
        <v>11</v>
      </c>
      <c r="D2" s="27" t="s">
        <v>658</v>
      </c>
      <c r="E2" s="27" t="s">
        <v>18</v>
      </c>
      <c r="F2" s="27" t="s">
        <v>33</v>
      </c>
      <c r="G2" s="25">
        <v>44809.438900462963</v>
      </c>
    </row>
    <row r="3" spans="1:7" x14ac:dyDescent="0.25">
      <c r="A3" s="1">
        <v>44810</v>
      </c>
      <c r="B3">
        <v>16160183</v>
      </c>
      <c r="C3" s="27" t="s">
        <v>11</v>
      </c>
      <c r="D3" s="27" t="s">
        <v>659</v>
      </c>
      <c r="E3" s="27" t="s">
        <v>10</v>
      </c>
      <c r="F3" s="27" t="s">
        <v>33</v>
      </c>
      <c r="G3" s="25">
        <v>44809.450358796297</v>
      </c>
    </row>
    <row r="4" spans="1:7" x14ac:dyDescent="0.25">
      <c r="A4" s="1">
        <v>44810</v>
      </c>
      <c r="B4">
        <v>16160615</v>
      </c>
      <c r="C4" s="27" t="s">
        <v>15</v>
      </c>
      <c r="D4" s="27" t="s">
        <v>660</v>
      </c>
      <c r="E4" s="27" t="s">
        <v>10</v>
      </c>
      <c r="F4" s="27" t="s">
        <v>33</v>
      </c>
      <c r="G4" s="25">
        <v>44809.522210648145</v>
      </c>
    </row>
    <row r="5" spans="1:7" x14ac:dyDescent="0.25">
      <c r="A5" s="1">
        <v>44810</v>
      </c>
      <c r="B5">
        <v>16160634</v>
      </c>
      <c r="C5" s="27" t="s">
        <v>15</v>
      </c>
      <c r="D5" s="27" t="s">
        <v>661</v>
      </c>
      <c r="E5" s="27" t="s">
        <v>10</v>
      </c>
      <c r="F5" s="27" t="s">
        <v>33</v>
      </c>
      <c r="G5" s="25">
        <v>44809.523842592593</v>
      </c>
    </row>
    <row r="6" spans="1:7" x14ac:dyDescent="0.25">
      <c r="A6" s="1">
        <v>44810</v>
      </c>
      <c r="B6">
        <v>16160759</v>
      </c>
      <c r="C6" s="27" t="s">
        <v>14</v>
      </c>
      <c r="D6" s="27" t="s">
        <v>61</v>
      </c>
      <c r="E6" s="27" t="s">
        <v>10</v>
      </c>
      <c r="F6" s="27" t="s">
        <v>33</v>
      </c>
      <c r="G6" s="25">
        <v>44809.540451388886</v>
      </c>
    </row>
    <row r="7" spans="1:7" x14ac:dyDescent="0.25">
      <c r="A7" s="1">
        <v>44810</v>
      </c>
      <c r="B7">
        <v>16160982</v>
      </c>
      <c r="C7" s="27" t="s">
        <v>7</v>
      </c>
      <c r="D7" s="27" t="s">
        <v>662</v>
      </c>
      <c r="E7" s="27" t="s">
        <v>10</v>
      </c>
      <c r="F7" s="27" t="s">
        <v>33</v>
      </c>
      <c r="G7" s="25">
        <v>44809.561284722222</v>
      </c>
    </row>
    <row r="8" spans="1:7" x14ac:dyDescent="0.25">
      <c r="A8" s="1">
        <v>44810</v>
      </c>
      <c r="B8">
        <v>1616105</v>
      </c>
      <c r="C8" s="27" t="s">
        <v>14</v>
      </c>
      <c r="D8" s="27" t="s">
        <v>359</v>
      </c>
      <c r="E8" s="27"/>
      <c r="F8" s="27" t="s">
        <v>33</v>
      </c>
      <c r="G8" s="25">
        <v>44809.581967592596</v>
      </c>
    </row>
    <row r="9" spans="1:7" x14ac:dyDescent="0.25">
      <c r="A9" s="1">
        <v>44810</v>
      </c>
      <c r="B9">
        <v>16161301</v>
      </c>
      <c r="C9" s="27" t="s">
        <v>14</v>
      </c>
      <c r="D9" s="27" t="s">
        <v>547</v>
      </c>
      <c r="E9" s="27"/>
      <c r="F9" s="27" t="s">
        <v>33</v>
      </c>
      <c r="G9" s="25">
        <v>44809.582731481481</v>
      </c>
    </row>
    <row r="10" spans="1:7" x14ac:dyDescent="0.25">
      <c r="A10" s="1">
        <v>44810</v>
      </c>
      <c r="B10">
        <v>16161394</v>
      </c>
      <c r="C10" s="27" t="s">
        <v>15</v>
      </c>
      <c r="D10" s="27" t="s">
        <v>663</v>
      </c>
      <c r="E10" s="27"/>
      <c r="F10" s="27" t="s">
        <v>33</v>
      </c>
      <c r="G10" s="25">
        <v>44809.590428240743</v>
      </c>
    </row>
    <row r="11" spans="1:7" x14ac:dyDescent="0.25">
      <c r="A11" s="1">
        <v>44810</v>
      </c>
      <c r="B11">
        <v>16161319</v>
      </c>
      <c r="C11" s="27" t="s">
        <v>12</v>
      </c>
      <c r="D11" s="27" t="s">
        <v>545</v>
      </c>
      <c r="E11" s="27"/>
      <c r="F11" s="27" t="s">
        <v>33</v>
      </c>
      <c r="G11" s="25">
        <v>44809.591608796298</v>
      </c>
    </row>
    <row r="12" spans="1:7" x14ac:dyDescent="0.25">
      <c r="A12" s="1">
        <v>44810</v>
      </c>
      <c r="B12">
        <v>16161580</v>
      </c>
      <c r="C12" s="27" t="s">
        <v>14</v>
      </c>
      <c r="D12" s="27" t="s">
        <v>553</v>
      </c>
      <c r="E12" s="27"/>
      <c r="F12" s="27" t="s">
        <v>33</v>
      </c>
      <c r="G12" s="25">
        <v>44809.605821759258</v>
      </c>
    </row>
    <row r="13" spans="1:7" x14ac:dyDescent="0.25">
      <c r="A13" s="1">
        <v>44810</v>
      </c>
      <c r="B13">
        <v>16161564</v>
      </c>
      <c r="C13" s="27" t="s">
        <v>7</v>
      </c>
      <c r="D13" s="27" t="s">
        <v>664</v>
      </c>
      <c r="E13" s="27" t="s">
        <v>18</v>
      </c>
      <c r="F13" s="27" t="s">
        <v>33</v>
      </c>
      <c r="G13" s="25">
        <v>44809.605949074074</v>
      </c>
    </row>
    <row r="14" spans="1:7" x14ac:dyDescent="0.25">
      <c r="A14" s="1">
        <v>44810</v>
      </c>
      <c r="B14">
        <v>16161602</v>
      </c>
      <c r="C14" s="27" t="s">
        <v>14</v>
      </c>
      <c r="D14" s="27" t="s">
        <v>665</v>
      </c>
      <c r="E14" s="27" t="s">
        <v>10</v>
      </c>
      <c r="F14" s="27" t="s">
        <v>33</v>
      </c>
      <c r="G14" s="25">
        <v>44809.607442129629</v>
      </c>
    </row>
    <row r="15" spans="1:7" x14ac:dyDescent="0.25">
      <c r="A15" s="1">
        <v>44809</v>
      </c>
      <c r="B15">
        <v>16152877</v>
      </c>
      <c r="C15" s="27" t="s">
        <v>15</v>
      </c>
      <c r="D15" s="27" t="s">
        <v>544</v>
      </c>
      <c r="E15" s="27" t="s">
        <v>10</v>
      </c>
      <c r="F15" s="27" t="s">
        <v>33</v>
      </c>
      <c r="G15" s="25">
        <v>44806.53806712963</v>
      </c>
    </row>
    <row r="16" spans="1:7" x14ac:dyDescent="0.25">
      <c r="A16" s="1">
        <v>44809</v>
      </c>
      <c r="B16">
        <v>16153685</v>
      </c>
      <c r="C16" s="27" t="s">
        <v>14</v>
      </c>
      <c r="D16" s="27" t="s">
        <v>335</v>
      </c>
      <c r="E16" s="27" t="s">
        <v>10</v>
      </c>
      <c r="F16" s="27" t="s">
        <v>33</v>
      </c>
      <c r="G16" s="25">
        <v>44806.590925925928</v>
      </c>
    </row>
    <row r="17" spans="1:7" x14ac:dyDescent="0.25">
      <c r="A17" s="1">
        <v>44809</v>
      </c>
      <c r="B17">
        <v>16153437</v>
      </c>
      <c r="C17" s="27" t="s">
        <v>12</v>
      </c>
      <c r="D17" s="27" t="s">
        <v>545</v>
      </c>
      <c r="E17" s="27" t="s">
        <v>10</v>
      </c>
      <c r="F17" s="27" t="s">
        <v>33</v>
      </c>
      <c r="G17" s="25">
        <v>44806.592407407406</v>
      </c>
    </row>
    <row r="18" spans="1:7" x14ac:dyDescent="0.25">
      <c r="A18" s="1">
        <v>44809</v>
      </c>
      <c r="B18">
        <v>16153710</v>
      </c>
      <c r="C18" s="27" t="s">
        <v>14</v>
      </c>
      <c r="D18" s="27" t="s">
        <v>359</v>
      </c>
      <c r="E18" s="27" t="s">
        <v>10</v>
      </c>
      <c r="F18" s="27" t="s">
        <v>33</v>
      </c>
      <c r="G18" s="25">
        <v>44806.592604166668</v>
      </c>
    </row>
    <row r="19" spans="1:7" x14ac:dyDescent="0.25">
      <c r="A19" s="1">
        <v>44809</v>
      </c>
      <c r="B19">
        <v>16153850</v>
      </c>
      <c r="C19" s="27" t="s">
        <v>7</v>
      </c>
      <c r="D19" s="27" t="s">
        <v>546</v>
      </c>
      <c r="E19" s="27" t="s">
        <v>10</v>
      </c>
      <c r="F19" s="27" t="s">
        <v>33</v>
      </c>
      <c r="G19" s="25">
        <v>44806.600706018522</v>
      </c>
    </row>
    <row r="20" spans="1:7" x14ac:dyDescent="0.25">
      <c r="A20" s="1">
        <v>44809</v>
      </c>
      <c r="B20">
        <v>16153904</v>
      </c>
      <c r="C20" s="27" t="s">
        <v>14</v>
      </c>
      <c r="D20" s="27" t="s">
        <v>547</v>
      </c>
      <c r="E20" s="27" t="s">
        <v>10</v>
      </c>
      <c r="F20" s="27" t="s">
        <v>33</v>
      </c>
      <c r="G20" s="25">
        <v>44806.603125000001</v>
      </c>
    </row>
    <row r="21" spans="1:7" x14ac:dyDescent="0.25">
      <c r="A21" s="1">
        <v>44809</v>
      </c>
      <c r="B21">
        <v>16153938</v>
      </c>
      <c r="C21" s="27" t="s">
        <v>7</v>
      </c>
      <c r="D21" s="27" t="s">
        <v>548</v>
      </c>
      <c r="E21" s="27" t="s">
        <v>18</v>
      </c>
      <c r="F21" s="27" t="s">
        <v>33</v>
      </c>
      <c r="G21" s="25">
        <v>44806.605775462966</v>
      </c>
    </row>
    <row r="22" spans="1:7" x14ac:dyDescent="0.25">
      <c r="A22" s="1">
        <v>44809</v>
      </c>
      <c r="B22">
        <v>16154028</v>
      </c>
      <c r="C22" s="27" t="s">
        <v>14</v>
      </c>
      <c r="D22" s="27" t="s">
        <v>553</v>
      </c>
      <c r="E22" s="27" t="s">
        <v>10</v>
      </c>
      <c r="F22" s="27" t="s">
        <v>33</v>
      </c>
      <c r="G22" s="25">
        <v>44806.609768518516</v>
      </c>
    </row>
    <row r="23" spans="1:7" x14ac:dyDescent="0.25">
      <c r="A23" s="1">
        <v>44809</v>
      </c>
      <c r="B23">
        <v>16154056</v>
      </c>
      <c r="C23" s="27" t="s">
        <v>14</v>
      </c>
      <c r="D23" s="27" t="s">
        <v>554</v>
      </c>
      <c r="E23" s="27" t="s">
        <v>10</v>
      </c>
      <c r="F23" s="27" t="s">
        <v>33</v>
      </c>
      <c r="G23" s="25">
        <v>44806.611342592594</v>
      </c>
    </row>
    <row r="24" spans="1:7" x14ac:dyDescent="0.25">
      <c r="A24" s="1">
        <v>44809</v>
      </c>
      <c r="B24">
        <v>16154375</v>
      </c>
      <c r="C24" s="27" t="s">
        <v>12</v>
      </c>
      <c r="D24" s="27" t="s">
        <v>607</v>
      </c>
      <c r="E24" s="27" t="s">
        <v>18</v>
      </c>
      <c r="F24" s="27" t="s">
        <v>33</v>
      </c>
      <c r="G24" s="25">
        <v>44806.628553240742</v>
      </c>
    </row>
    <row r="25" spans="1:7" x14ac:dyDescent="0.25">
      <c r="A25" s="1">
        <v>44809</v>
      </c>
      <c r="B25">
        <v>16154411</v>
      </c>
      <c r="C25" s="27" t="s">
        <v>12</v>
      </c>
      <c r="D25" s="27" t="s">
        <v>608</v>
      </c>
      <c r="E25" s="27" t="s">
        <v>10</v>
      </c>
      <c r="F25" s="27" t="s">
        <v>33</v>
      </c>
      <c r="G25" s="25">
        <v>44806.628877314812</v>
      </c>
    </row>
    <row r="26" spans="1:7" x14ac:dyDescent="0.25">
      <c r="A26" s="1">
        <v>44809</v>
      </c>
      <c r="B26">
        <v>16153852</v>
      </c>
      <c r="C26" s="27" t="s">
        <v>15</v>
      </c>
      <c r="D26" s="27" t="s">
        <v>561</v>
      </c>
      <c r="E26" s="27"/>
      <c r="F26" s="27" t="s">
        <v>33</v>
      </c>
      <c r="G26" s="25">
        <v>44806.680300925924</v>
      </c>
    </row>
    <row r="27" spans="1:7" x14ac:dyDescent="0.25">
      <c r="A27" s="1">
        <v>44809</v>
      </c>
      <c r="B27">
        <v>16159799</v>
      </c>
      <c r="C27" s="27" t="s">
        <v>14</v>
      </c>
      <c r="D27" s="27" t="s">
        <v>666</v>
      </c>
      <c r="E27" s="27"/>
      <c r="F27" s="27" t="s">
        <v>33</v>
      </c>
      <c r="G27" s="25">
        <v>44809.411793981482</v>
      </c>
    </row>
    <row r="28" spans="1:7" x14ac:dyDescent="0.25">
      <c r="A28" s="1">
        <v>44809</v>
      </c>
      <c r="B28">
        <v>16159839</v>
      </c>
      <c r="C28" s="27" t="s">
        <v>14</v>
      </c>
      <c r="D28" s="27" t="s">
        <v>667</v>
      </c>
      <c r="E28" s="27"/>
      <c r="F28" s="27" t="s">
        <v>33</v>
      </c>
      <c r="G28" s="25">
        <v>44809.415509259263</v>
      </c>
    </row>
    <row r="29" spans="1:7" x14ac:dyDescent="0.25">
      <c r="A29" s="1">
        <v>44809</v>
      </c>
      <c r="B29">
        <v>16159865</v>
      </c>
      <c r="C29" s="27" t="s">
        <v>14</v>
      </c>
      <c r="D29" s="27" t="s">
        <v>668</v>
      </c>
      <c r="E29" s="27"/>
      <c r="F29" s="27" t="s">
        <v>33</v>
      </c>
      <c r="G29" s="25">
        <v>44809.418032407404</v>
      </c>
    </row>
    <row r="30" spans="1:7" x14ac:dyDescent="0.25">
      <c r="A30" s="1">
        <v>44809</v>
      </c>
      <c r="B30">
        <v>16160585</v>
      </c>
      <c r="C30" s="27" t="s">
        <v>14</v>
      </c>
      <c r="D30" s="27" t="s">
        <v>669</v>
      </c>
      <c r="E30" s="27"/>
      <c r="F30" s="27" t="s">
        <v>33</v>
      </c>
      <c r="G30" s="25">
        <v>44809.506712962961</v>
      </c>
    </row>
    <row r="31" spans="1:7" x14ac:dyDescent="0.25">
      <c r="A31" s="1">
        <v>44809</v>
      </c>
      <c r="B31">
        <v>16160589</v>
      </c>
      <c r="C31" s="27" t="s">
        <v>14</v>
      </c>
      <c r="D31" s="27" t="s">
        <v>670</v>
      </c>
      <c r="E31" s="27"/>
      <c r="F31" s="27" t="s">
        <v>33</v>
      </c>
      <c r="G31" s="25">
        <v>44809.508680555555</v>
      </c>
    </row>
    <row r="32" spans="1:7" x14ac:dyDescent="0.25">
      <c r="A32" s="1">
        <v>44809</v>
      </c>
      <c r="B32">
        <v>16161346</v>
      </c>
      <c r="C32" s="27" t="s">
        <v>15</v>
      </c>
      <c r="D32" s="27" t="s">
        <v>671</v>
      </c>
      <c r="E32" s="27"/>
      <c r="F32" s="27" t="s">
        <v>33</v>
      </c>
      <c r="G32" s="25">
        <v>44809.586296296293</v>
      </c>
    </row>
    <row r="33" spans="1:7" x14ac:dyDescent="0.25">
      <c r="A33" s="1">
        <v>44809</v>
      </c>
      <c r="B33">
        <v>16161373</v>
      </c>
      <c r="C33" s="27" t="s">
        <v>15</v>
      </c>
      <c r="D33" s="27" t="s">
        <v>672</v>
      </c>
      <c r="E33" s="27"/>
      <c r="F33" s="27" t="s">
        <v>33</v>
      </c>
      <c r="G33" s="25">
        <v>44809.589016203703</v>
      </c>
    </row>
    <row r="34" spans="1:7" x14ac:dyDescent="0.25">
      <c r="A34" s="1">
        <v>44809</v>
      </c>
      <c r="B34">
        <v>16161467</v>
      </c>
      <c r="C34" s="27" t="s">
        <v>15</v>
      </c>
      <c r="D34" s="27" t="s">
        <v>673</v>
      </c>
      <c r="E34" s="27"/>
      <c r="F34" s="27" t="s">
        <v>33</v>
      </c>
      <c r="G34" s="25">
        <v>44809.596863425926</v>
      </c>
    </row>
    <row r="35" spans="1:7" x14ac:dyDescent="0.25">
      <c r="A35" s="1">
        <v>44809</v>
      </c>
      <c r="B35">
        <v>16161467</v>
      </c>
      <c r="C35" s="27" t="s">
        <v>15</v>
      </c>
      <c r="D35" s="27" t="s">
        <v>674</v>
      </c>
      <c r="E35" s="27"/>
      <c r="F35" s="27" t="s">
        <v>33</v>
      </c>
      <c r="G35" s="25">
        <v>44809.59888888889</v>
      </c>
    </row>
    <row r="36" spans="1:7" x14ac:dyDescent="0.25">
      <c r="A36" s="1">
        <v>44807</v>
      </c>
      <c r="B36">
        <v>16151600</v>
      </c>
      <c r="C36" s="27" t="s">
        <v>14</v>
      </c>
      <c r="D36" s="27" t="s">
        <v>549</v>
      </c>
      <c r="E36" s="27" t="s">
        <v>10</v>
      </c>
      <c r="F36" s="27" t="s">
        <v>33</v>
      </c>
      <c r="G36" s="25">
        <v>44806.40315972222</v>
      </c>
    </row>
    <row r="37" spans="1:7" x14ac:dyDescent="0.25">
      <c r="A37" s="1">
        <v>44807</v>
      </c>
      <c r="B37">
        <v>16151766</v>
      </c>
      <c r="C37" s="27" t="s">
        <v>14</v>
      </c>
      <c r="D37" s="27" t="s">
        <v>550</v>
      </c>
      <c r="E37" s="27" t="s">
        <v>10</v>
      </c>
      <c r="F37" s="27" t="s">
        <v>33</v>
      </c>
      <c r="G37" s="25">
        <v>44806.413865740738</v>
      </c>
    </row>
    <row r="38" spans="1:7" x14ac:dyDescent="0.25">
      <c r="A38" s="1">
        <v>44807</v>
      </c>
      <c r="B38">
        <v>16151807</v>
      </c>
      <c r="C38" s="27" t="s">
        <v>14</v>
      </c>
      <c r="D38" s="27" t="s">
        <v>61</v>
      </c>
      <c r="E38" s="27" t="s">
        <v>10</v>
      </c>
      <c r="F38" s="27" t="s">
        <v>33</v>
      </c>
      <c r="G38" s="25">
        <v>44806.418240740742</v>
      </c>
    </row>
    <row r="39" spans="1:7" x14ac:dyDescent="0.25">
      <c r="A39" s="1">
        <v>44807</v>
      </c>
      <c r="B39">
        <v>16151705</v>
      </c>
      <c r="C39" s="27" t="s">
        <v>14</v>
      </c>
      <c r="D39" s="27" t="s">
        <v>551</v>
      </c>
      <c r="E39" s="27" t="s">
        <v>10</v>
      </c>
      <c r="F39" s="27" t="s">
        <v>33</v>
      </c>
      <c r="G39" s="25">
        <v>44806.431226851855</v>
      </c>
    </row>
    <row r="40" spans="1:7" x14ac:dyDescent="0.25">
      <c r="A40" s="1">
        <v>44807</v>
      </c>
      <c r="B40">
        <v>16151807</v>
      </c>
      <c r="C40" s="27" t="s">
        <v>14</v>
      </c>
      <c r="D40" s="27" t="s">
        <v>61</v>
      </c>
      <c r="E40" s="27" t="s">
        <v>10</v>
      </c>
      <c r="F40" s="27" t="s">
        <v>33</v>
      </c>
      <c r="G40" s="25">
        <v>44806.432604166665</v>
      </c>
    </row>
    <row r="41" spans="1:7" x14ac:dyDescent="0.25">
      <c r="A41" s="1">
        <v>44806</v>
      </c>
      <c r="B41">
        <v>16125026</v>
      </c>
      <c r="C41" s="27" t="s">
        <v>12</v>
      </c>
      <c r="D41" s="27" t="s">
        <v>327</v>
      </c>
      <c r="E41" s="27" t="s">
        <v>18</v>
      </c>
      <c r="F41" s="27" t="s">
        <v>33</v>
      </c>
      <c r="G41" s="25">
        <v>44799.5940162037</v>
      </c>
    </row>
    <row r="42" spans="1:7" x14ac:dyDescent="0.25">
      <c r="A42" s="1">
        <v>44806</v>
      </c>
      <c r="B42">
        <v>16125864</v>
      </c>
      <c r="C42" s="27" t="s">
        <v>7</v>
      </c>
      <c r="D42" s="27" t="s">
        <v>328</v>
      </c>
      <c r="E42" s="27" t="s">
        <v>18</v>
      </c>
      <c r="F42" s="27" t="s">
        <v>33</v>
      </c>
      <c r="G42" s="25">
        <v>44799.630520833336</v>
      </c>
    </row>
    <row r="43" spans="1:7" x14ac:dyDescent="0.25">
      <c r="A43" s="1">
        <v>44806</v>
      </c>
      <c r="B43">
        <v>16147993</v>
      </c>
      <c r="C43" s="27" t="s">
        <v>12</v>
      </c>
      <c r="D43" s="27" t="s">
        <v>329</v>
      </c>
      <c r="E43" s="27" t="s">
        <v>10</v>
      </c>
      <c r="F43" s="27" t="s">
        <v>33</v>
      </c>
      <c r="G43" s="25">
        <v>44805.596620370372</v>
      </c>
    </row>
    <row r="44" spans="1:7" x14ac:dyDescent="0.25">
      <c r="A44" s="1">
        <v>44806</v>
      </c>
      <c r="B44">
        <v>16147678</v>
      </c>
      <c r="C44" s="27" t="s">
        <v>15</v>
      </c>
      <c r="D44" s="27" t="s">
        <v>330</v>
      </c>
      <c r="E44" s="27" t="s">
        <v>10</v>
      </c>
      <c r="F44" s="27" t="s">
        <v>33</v>
      </c>
      <c r="G44" s="25">
        <v>44805.636192129627</v>
      </c>
    </row>
    <row r="45" spans="1:7" x14ac:dyDescent="0.25">
      <c r="A45" s="1">
        <v>44806</v>
      </c>
      <c r="B45">
        <v>16148815</v>
      </c>
      <c r="C45" s="27" t="s">
        <v>12</v>
      </c>
      <c r="D45" s="27" t="s">
        <v>368</v>
      </c>
      <c r="E45" s="27" t="s">
        <v>10</v>
      </c>
      <c r="F45" s="27" t="s">
        <v>33</v>
      </c>
      <c r="G45" s="25">
        <v>44805.659155092595</v>
      </c>
    </row>
    <row r="46" spans="1:7" x14ac:dyDescent="0.25">
      <c r="A46" s="1">
        <v>44806</v>
      </c>
      <c r="B46">
        <v>16152167</v>
      </c>
      <c r="C46" s="27" t="s">
        <v>14</v>
      </c>
      <c r="D46" s="27" t="s">
        <v>552</v>
      </c>
      <c r="E46" s="27"/>
      <c r="F46" s="27" t="s">
        <v>33</v>
      </c>
      <c r="G46" s="25">
        <v>44806.451620370368</v>
      </c>
    </row>
    <row r="47" spans="1:7" x14ac:dyDescent="0.25">
      <c r="A47" s="1">
        <v>44805</v>
      </c>
      <c r="B47">
        <v>16133191</v>
      </c>
      <c r="C47" s="27" t="s">
        <v>14</v>
      </c>
      <c r="D47" s="27" t="s">
        <v>331</v>
      </c>
      <c r="E47" s="27" t="s">
        <v>10</v>
      </c>
      <c r="F47" s="27" t="s">
        <v>33</v>
      </c>
      <c r="G47" s="25">
        <v>44804.474120370367</v>
      </c>
    </row>
    <row r="48" spans="1:7" x14ac:dyDescent="0.25">
      <c r="A48" s="1">
        <v>44805</v>
      </c>
      <c r="B48">
        <v>16109492</v>
      </c>
      <c r="C48" s="27" t="s">
        <v>14</v>
      </c>
      <c r="D48" s="27" t="s">
        <v>58</v>
      </c>
      <c r="E48" s="27" t="s">
        <v>10</v>
      </c>
      <c r="F48" s="27" t="s">
        <v>33</v>
      </c>
      <c r="G48" s="25">
        <v>44802.618541666663</v>
      </c>
    </row>
    <row r="49" spans="1:7" x14ac:dyDescent="0.25">
      <c r="A49" s="1">
        <v>44805</v>
      </c>
      <c r="B49">
        <v>16143088</v>
      </c>
      <c r="C49" s="27" t="s">
        <v>12</v>
      </c>
      <c r="D49" s="27" t="s">
        <v>332</v>
      </c>
      <c r="E49" s="27" t="s">
        <v>10</v>
      </c>
      <c r="F49" s="27" t="s">
        <v>33</v>
      </c>
      <c r="G49" s="25">
        <v>44804.596215277779</v>
      </c>
    </row>
    <row r="50" spans="1:7" x14ac:dyDescent="0.25">
      <c r="A50" s="1">
        <v>44805</v>
      </c>
      <c r="B50">
        <v>16145919</v>
      </c>
      <c r="C50" s="27" t="s">
        <v>12</v>
      </c>
      <c r="D50" s="27" t="s">
        <v>333</v>
      </c>
      <c r="E50" s="27" t="s">
        <v>10</v>
      </c>
      <c r="F50" s="27" t="s">
        <v>33</v>
      </c>
      <c r="G50" s="25">
        <v>44804.596620370372</v>
      </c>
    </row>
    <row r="51" spans="1:7" x14ac:dyDescent="0.25">
      <c r="A51" s="1">
        <v>44805</v>
      </c>
      <c r="B51">
        <v>16143259</v>
      </c>
      <c r="C51" s="27" t="s">
        <v>14</v>
      </c>
      <c r="D51" s="27" t="s">
        <v>334</v>
      </c>
      <c r="E51" s="27" t="s">
        <v>10</v>
      </c>
      <c r="F51" s="27" t="s">
        <v>33</v>
      </c>
      <c r="G51" s="25">
        <v>44804.601701388892</v>
      </c>
    </row>
    <row r="52" spans="1:7" x14ac:dyDescent="0.25">
      <c r="A52" s="1">
        <v>44805</v>
      </c>
      <c r="B52">
        <v>16143321</v>
      </c>
      <c r="C52" s="27" t="s">
        <v>14</v>
      </c>
      <c r="D52" s="27" t="s">
        <v>335</v>
      </c>
      <c r="E52" s="27" t="s">
        <v>10</v>
      </c>
      <c r="F52" s="27" t="s">
        <v>33</v>
      </c>
      <c r="G52" s="25">
        <v>44804.606979166667</v>
      </c>
    </row>
    <row r="53" spans="1:7" x14ac:dyDescent="0.25">
      <c r="A53" s="1">
        <v>44805</v>
      </c>
      <c r="B53">
        <v>16143056</v>
      </c>
      <c r="C53" s="27" t="s">
        <v>12</v>
      </c>
      <c r="D53" s="27" t="s">
        <v>336</v>
      </c>
      <c r="E53" s="27" t="s">
        <v>10</v>
      </c>
      <c r="F53" s="27" t="s">
        <v>33</v>
      </c>
      <c r="G53" s="25">
        <v>44805.329375000001</v>
      </c>
    </row>
    <row r="54" spans="1:7" x14ac:dyDescent="0.25">
      <c r="A54" s="1">
        <v>44805</v>
      </c>
      <c r="B54">
        <v>16137626</v>
      </c>
      <c r="C54" s="27" t="s">
        <v>15</v>
      </c>
      <c r="D54" s="27" t="s">
        <v>337</v>
      </c>
      <c r="E54" s="27" t="s">
        <v>10</v>
      </c>
      <c r="F54" s="27" t="s">
        <v>33</v>
      </c>
      <c r="G54" s="25">
        <v>44803.553530092591</v>
      </c>
    </row>
    <row r="55" spans="1:7" x14ac:dyDescent="0.25">
      <c r="A55" s="1">
        <v>44805</v>
      </c>
      <c r="B55">
        <v>16145777</v>
      </c>
      <c r="C55" s="27" t="s">
        <v>15</v>
      </c>
      <c r="D55" s="27" t="s">
        <v>338</v>
      </c>
      <c r="E55" s="27" t="s">
        <v>10</v>
      </c>
      <c r="F55" s="27" t="s">
        <v>33</v>
      </c>
      <c r="G55" s="25">
        <v>44805.345069444447</v>
      </c>
    </row>
    <row r="56" spans="1:7" x14ac:dyDescent="0.25">
      <c r="A56" s="1">
        <v>44805</v>
      </c>
      <c r="B56">
        <v>16145874</v>
      </c>
      <c r="C56" s="27" t="s">
        <v>15</v>
      </c>
      <c r="D56" s="27" t="s">
        <v>339</v>
      </c>
      <c r="E56" s="27" t="s">
        <v>10</v>
      </c>
      <c r="F56" s="27" t="s">
        <v>33</v>
      </c>
      <c r="G56" s="25">
        <v>44805.346701388888</v>
      </c>
    </row>
    <row r="57" spans="1:7" x14ac:dyDescent="0.25">
      <c r="A57" s="1">
        <v>44805</v>
      </c>
      <c r="B57">
        <v>16146633</v>
      </c>
      <c r="C57" s="27" t="s">
        <v>14</v>
      </c>
      <c r="D57" s="27" t="s">
        <v>340</v>
      </c>
      <c r="E57" s="27" t="s">
        <v>10</v>
      </c>
      <c r="F57" s="27" t="s">
        <v>33</v>
      </c>
      <c r="G57" s="25">
        <v>44805.396539351852</v>
      </c>
    </row>
    <row r="58" spans="1:7" x14ac:dyDescent="0.25">
      <c r="A58" s="1">
        <v>44805</v>
      </c>
      <c r="B58">
        <v>16146778</v>
      </c>
      <c r="C58" s="27" t="s">
        <v>15</v>
      </c>
      <c r="D58" s="27" t="s">
        <v>341</v>
      </c>
      <c r="E58" s="27" t="s">
        <v>10</v>
      </c>
      <c r="F58" s="27" t="s">
        <v>33</v>
      </c>
      <c r="G58" s="25">
        <v>44805.431793981479</v>
      </c>
    </row>
    <row r="59" spans="1:7" x14ac:dyDescent="0.25">
      <c r="A59" s="1">
        <v>44804</v>
      </c>
      <c r="B59">
        <v>16136702</v>
      </c>
      <c r="C59" s="27" t="s">
        <v>14</v>
      </c>
      <c r="D59" s="27" t="s">
        <v>342</v>
      </c>
      <c r="E59" s="27" t="s">
        <v>10</v>
      </c>
      <c r="F59" s="27" t="s">
        <v>33</v>
      </c>
      <c r="G59" s="25">
        <v>44803.43582175926</v>
      </c>
    </row>
    <row r="60" spans="1:7" x14ac:dyDescent="0.25">
      <c r="A60" s="1">
        <v>44804</v>
      </c>
      <c r="B60">
        <v>16137088</v>
      </c>
      <c r="C60" s="27" t="s">
        <v>14</v>
      </c>
      <c r="D60" s="27" t="s">
        <v>343</v>
      </c>
      <c r="E60" s="27" t="s">
        <v>10</v>
      </c>
      <c r="F60" s="27" t="s">
        <v>33</v>
      </c>
      <c r="G60" s="25">
        <v>44803.472361111111</v>
      </c>
    </row>
    <row r="61" spans="1:7" x14ac:dyDescent="0.25">
      <c r="A61" s="1">
        <v>44804</v>
      </c>
      <c r="B61">
        <v>16137645</v>
      </c>
      <c r="C61" s="27" t="s">
        <v>15</v>
      </c>
      <c r="D61" s="27" t="s">
        <v>344</v>
      </c>
      <c r="E61" s="27" t="s">
        <v>10</v>
      </c>
      <c r="F61" s="27" t="s">
        <v>33</v>
      </c>
      <c r="G61" s="25">
        <v>44803.554560185185</v>
      </c>
    </row>
    <row r="62" spans="1:7" x14ac:dyDescent="0.25">
      <c r="A62" s="1">
        <v>44804</v>
      </c>
      <c r="B62">
        <v>16137673</v>
      </c>
      <c r="C62" s="27" t="s">
        <v>15</v>
      </c>
      <c r="D62" s="27" t="s">
        <v>345</v>
      </c>
      <c r="E62" s="27" t="s">
        <v>10</v>
      </c>
      <c r="F62" s="27" t="s">
        <v>33</v>
      </c>
      <c r="G62" s="25">
        <v>44803.557118055556</v>
      </c>
    </row>
    <row r="63" spans="1:7" x14ac:dyDescent="0.25">
      <c r="A63" s="1">
        <v>44804</v>
      </c>
      <c r="B63">
        <v>16137828</v>
      </c>
      <c r="C63" s="27" t="s">
        <v>7</v>
      </c>
      <c r="D63" s="27" t="s">
        <v>346</v>
      </c>
      <c r="E63" s="27" t="s">
        <v>10</v>
      </c>
      <c r="F63" s="27" t="s">
        <v>33</v>
      </c>
      <c r="G63" s="25">
        <v>44803.571111111109</v>
      </c>
    </row>
    <row r="64" spans="1:7" x14ac:dyDescent="0.25">
      <c r="A64" s="1">
        <v>44804</v>
      </c>
      <c r="B64">
        <v>16138087</v>
      </c>
      <c r="C64" s="27" t="s">
        <v>7</v>
      </c>
      <c r="D64" s="27" t="s">
        <v>347</v>
      </c>
      <c r="E64" s="27" t="s">
        <v>10</v>
      </c>
      <c r="F64" s="27" t="s">
        <v>33</v>
      </c>
      <c r="G64" s="25">
        <v>44803.594166666669</v>
      </c>
    </row>
    <row r="65" spans="1:7" x14ac:dyDescent="0.25">
      <c r="A65" s="1">
        <v>44804</v>
      </c>
      <c r="B65">
        <v>16138146</v>
      </c>
      <c r="C65" s="27" t="s">
        <v>15</v>
      </c>
      <c r="D65" s="27" t="s">
        <v>348</v>
      </c>
      <c r="E65" s="27" t="s">
        <v>10</v>
      </c>
      <c r="F65" s="27" t="s">
        <v>33</v>
      </c>
      <c r="G65" s="25">
        <v>44803.598101851851</v>
      </c>
    </row>
    <row r="66" spans="1:7" x14ac:dyDescent="0.25">
      <c r="A66" s="1">
        <v>44804</v>
      </c>
      <c r="B66">
        <v>16138157</v>
      </c>
      <c r="C66" s="27" t="s">
        <v>15</v>
      </c>
      <c r="D66" s="27" t="s">
        <v>349</v>
      </c>
      <c r="E66" s="27" t="s">
        <v>10</v>
      </c>
      <c r="F66" s="27" t="s">
        <v>33</v>
      </c>
      <c r="G66" s="25">
        <v>44803.599236111113</v>
      </c>
    </row>
    <row r="67" spans="1:7" x14ac:dyDescent="0.25">
      <c r="A67" s="1">
        <v>44804</v>
      </c>
      <c r="B67">
        <v>16137961</v>
      </c>
      <c r="C67" s="27" t="s">
        <v>12</v>
      </c>
      <c r="D67" s="27" t="s">
        <v>57</v>
      </c>
      <c r="E67" s="27" t="s">
        <v>10</v>
      </c>
      <c r="F67" s="27" t="s">
        <v>33</v>
      </c>
      <c r="G67" s="25">
        <v>44803.607245370367</v>
      </c>
    </row>
    <row r="68" spans="1:7" x14ac:dyDescent="0.25">
      <c r="A68" s="1">
        <v>44804</v>
      </c>
      <c r="B68">
        <v>16138005</v>
      </c>
      <c r="C68" s="27" t="s">
        <v>12</v>
      </c>
      <c r="D68" s="27" t="s">
        <v>350</v>
      </c>
      <c r="E68" s="27" t="s">
        <v>10</v>
      </c>
      <c r="F68" s="27" t="s">
        <v>33</v>
      </c>
      <c r="G68" s="25">
        <v>44803.607569444444</v>
      </c>
    </row>
    <row r="69" spans="1:7" x14ac:dyDescent="0.25">
      <c r="A69" s="1">
        <v>44804</v>
      </c>
      <c r="B69">
        <v>16138038</v>
      </c>
      <c r="C69" s="27" t="s">
        <v>12</v>
      </c>
      <c r="D69" s="27" t="s">
        <v>351</v>
      </c>
      <c r="E69" s="27" t="s">
        <v>10</v>
      </c>
      <c r="F69" s="27" t="s">
        <v>33</v>
      </c>
      <c r="G69" s="25">
        <v>44803.608020833337</v>
      </c>
    </row>
    <row r="70" spans="1:7" x14ac:dyDescent="0.25">
      <c r="A70" s="1">
        <v>44804</v>
      </c>
      <c r="B70">
        <v>16138050</v>
      </c>
      <c r="C70" s="27" t="s">
        <v>12</v>
      </c>
      <c r="D70" s="27" t="s">
        <v>352</v>
      </c>
      <c r="E70" s="27" t="s">
        <v>10</v>
      </c>
      <c r="F70" s="27" t="s">
        <v>33</v>
      </c>
      <c r="G70" s="25">
        <v>44803.608287037037</v>
      </c>
    </row>
    <row r="71" spans="1:7" x14ac:dyDescent="0.25">
      <c r="A71" s="1">
        <v>44804</v>
      </c>
      <c r="B71">
        <v>16138672</v>
      </c>
      <c r="C71" s="27" t="s">
        <v>7</v>
      </c>
      <c r="D71" s="27" t="s">
        <v>353</v>
      </c>
      <c r="E71" s="27" t="s">
        <v>10</v>
      </c>
      <c r="F71" s="27" t="s">
        <v>33</v>
      </c>
      <c r="G71" s="25">
        <v>44803.639675925922</v>
      </c>
    </row>
    <row r="72" spans="1:7" x14ac:dyDescent="0.25">
      <c r="A72" s="1">
        <v>44804</v>
      </c>
      <c r="B72">
        <v>16142207</v>
      </c>
      <c r="C72" s="27" t="s">
        <v>14</v>
      </c>
      <c r="D72" s="27" t="s">
        <v>340</v>
      </c>
      <c r="E72" s="27" t="s">
        <v>10</v>
      </c>
      <c r="F72" s="27" t="s">
        <v>33</v>
      </c>
      <c r="G72" s="25">
        <v>44804.469884259262</v>
      </c>
    </row>
    <row r="73" spans="1:7" x14ac:dyDescent="0.25">
      <c r="A73" s="1">
        <v>44804</v>
      </c>
      <c r="B73">
        <v>16142310</v>
      </c>
      <c r="C73" s="27" t="s">
        <v>14</v>
      </c>
      <c r="D73" s="27" t="s">
        <v>354</v>
      </c>
      <c r="E73" s="27" t="s">
        <v>10</v>
      </c>
      <c r="F73" s="27" t="s">
        <v>33</v>
      </c>
      <c r="G73" s="25">
        <v>44804.488703703704</v>
      </c>
    </row>
    <row r="74" spans="1:7" x14ac:dyDescent="0.25">
      <c r="A74" s="1">
        <v>44803</v>
      </c>
      <c r="B74">
        <v>16125181</v>
      </c>
      <c r="C74" s="27" t="s">
        <v>14</v>
      </c>
      <c r="D74" s="27" t="s">
        <v>355</v>
      </c>
      <c r="E74" s="27" t="s">
        <v>10</v>
      </c>
      <c r="F74" s="27" t="s">
        <v>33</v>
      </c>
      <c r="G74" s="25">
        <v>44799.591400462959</v>
      </c>
    </row>
    <row r="75" spans="1:7" x14ac:dyDescent="0.25">
      <c r="A75" s="1">
        <v>44803</v>
      </c>
      <c r="B75">
        <v>16125109</v>
      </c>
      <c r="C75" s="27" t="s">
        <v>12</v>
      </c>
      <c r="D75" s="27" t="s">
        <v>356</v>
      </c>
      <c r="E75" s="27" t="s">
        <v>10</v>
      </c>
      <c r="F75" s="27" t="s">
        <v>33</v>
      </c>
      <c r="G75" s="25">
        <v>44799.594340277778</v>
      </c>
    </row>
    <row r="76" spans="1:7" x14ac:dyDescent="0.25">
      <c r="A76" s="1">
        <v>44803</v>
      </c>
      <c r="B76">
        <v>16125287</v>
      </c>
      <c r="C76" s="27" t="s">
        <v>14</v>
      </c>
      <c r="D76" s="27" t="s">
        <v>60</v>
      </c>
      <c r="E76" s="27" t="s">
        <v>10</v>
      </c>
      <c r="F76" s="27" t="s">
        <v>33</v>
      </c>
      <c r="G76" s="25">
        <v>44799.597534722219</v>
      </c>
    </row>
    <row r="77" spans="1:7" x14ac:dyDescent="0.25">
      <c r="A77" s="1">
        <v>44803</v>
      </c>
      <c r="B77">
        <v>16130938</v>
      </c>
      <c r="C77" s="27" t="s">
        <v>14</v>
      </c>
      <c r="D77" s="27" t="s">
        <v>61</v>
      </c>
      <c r="E77" s="27" t="s">
        <v>10</v>
      </c>
      <c r="F77" s="27" t="s">
        <v>33</v>
      </c>
      <c r="G77" s="25">
        <v>44802.390370370369</v>
      </c>
    </row>
    <row r="78" spans="1:7" x14ac:dyDescent="0.25">
      <c r="A78" s="1">
        <v>44803</v>
      </c>
      <c r="B78">
        <v>16130965</v>
      </c>
      <c r="C78" s="27" t="s">
        <v>14</v>
      </c>
      <c r="D78" s="27" t="s">
        <v>357</v>
      </c>
      <c r="E78" s="27" t="s">
        <v>10</v>
      </c>
      <c r="F78" s="27" t="s">
        <v>33</v>
      </c>
      <c r="G78" s="25">
        <v>44802.392233796294</v>
      </c>
    </row>
    <row r="79" spans="1:7" x14ac:dyDescent="0.25">
      <c r="A79" s="1">
        <v>44803</v>
      </c>
      <c r="B79">
        <v>16131994</v>
      </c>
      <c r="C79" s="27" t="s">
        <v>14</v>
      </c>
      <c r="D79" s="27" t="s">
        <v>358</v>
      </c>
      <c r="E79" s="27" t="s">
        <v>10</v>
      </c>
      <c r="F79" s="27" t="s">
        <v>33</v>
      </c>
      <c r="G79" s="25">
        <v>44802.493437500001</v>
      </c>
    </row>
    <row r="80" spans="1:7" x14ac:dyDescent="0.25">
      <c r="A80" s="1">
        <v>44803</v>
      </c>
      <c r="B80">
        <v>16132013</v>
      </c>
      <c r="C80" s="27" t="s">
        <v>14</v>
      </c>
      <c r="D80" s="27" t="s">
        <v>359</v>
      </c>
      <c r="E80" s="27" t="s">
        <v>10</v>
      </c>
      <c r="F80" s="27" t="s">
        <v>33</v>
      </c>
      <c r="G80" s="25">
        <v>44802.49728009259</v>
      </c>
    </row>
    <row r="81" spans="1:7" x14ac:dyDescent="0.25">
      <c r="A81" s="1">
        <v>44803</v>
      </c>
      <c r="B81">
        <v>16132621</v>
      </c>
      <c r="C81" s="27" t="s">
        <v>15</v>
      </c>
      <c r="D81" s="27" t="s">
        <v>360</v>
      </c>
      <c r="E81" s="27" t="s">
        <v>10</v>
      </c>
      <c r="F81" s="27" t="s">
        <v>33</v>
      </c>
      <c r="G81" s="25">
        <v>44802.575162037036</v>
      </c>
    </row>
    <row r="82" spans="1:7" x14ac:dyDescent="0.25">
      <c r="A82" s="1">
        <v>44803</v>
      </c>
      <c r="B82">
        <v>16132639</v>
      </c>
      <c r="C82" s="27" t="s">
        <v>15</v>
      </c>
      <c r="D82" s="27" t="s">
        <v>361</v>
      </c>
      <c r="E82" s="27" t="s">
        <v>10</v>
      </c>
      <c r="F82" s="27" t="s">
        <v>33</v>
      </c>
      <c r="G82" s="25">
        <v>44802.576898148145</v>
      </c>
    </row>
    <row r="83" spans="1:7" x14ac:dyDescent="0.25">
      <c r="A83" s="1">
        <v>44803</v>
      </c>
      <c r="B83">
        <v>16132725</v>
      </c>
      <c r="C83" s="27" t="s">
        <v>12</v>
      </c>
      <c r="D83" s="27" t="s">
        <v>352</v>
      </c>
      <c r="E83" s="27" t="s">
        <v>10</v>
      </c>
      <c r="F83" s="27" t="s">
        <v>33</v>
      </c>
      <c r="G83" s="25">
        <v>44802.584583333337</v>
      </c>
    </row>
    <row r="84" spans="1:7" x14ac:dyDescent="0.25">
      <c r="A84" s="1">
        <v>44803</v>
      </c>
      <c r="B84">
        <v>16133137</v>
      </c>
      <c r="C84" s="27" t="s">
        <v>15</v>
      </c>
      <c r="D84" s="27" t="s">
        <v>362</v>
      </c>
      <c r="E84" s="27" t="s">
        <v>10</v>
      </c>
      <c r="F84" s="27" t="s">
        <v>33</v>
      </c>
      <c r="G84" s="25">
        <v>44802.612199074072</v>
      </c>
    </row>
    <row r="85" spans="1:7" x14ac:dyDescent="0.25">
      <c r="A85" s="1">
        <v>44803</v>
      </c>
      <c r="B85">
        <v>16133191</v>
      </c>
      <c r="C85" s="27" t="s">
        <v>14</v>
      </c>
      <c r="D85" s="27" t="s">
        <v>331</v>
      </c>
      <c r="E85" s="27" t="s">
        <v>18</v>
      </c>
      <c r="F85" s="27" t="s">
        <v>33</v>
      </c>
      <c r="G85" s="25">
        <v>44802.617650462962</v>
      </c>
    </row>
    <row r="86" spans="1:7" x14ac:dyDescent="0.25">
      <c r="A86" s="1">
        <v>44803</v>
      </c>
      <c r="B86">
        <v>16133878</v>
      </c>
      <c r="C86" s="27" t="s">
        <v>7</v>
      </c>
      <c r="D86" s="27" t="s">
        <v>363</v>
      </c>
      <c r="E86" s="27"/>
      <c r="F86" s="27" t="s">
        <v>33</v>
      </c>
      <c r="G86" s="25">
        <v>44802.682222222225</v>
      </c>
    </row>
    <row r="87" spans="1:7" x14ac:dyDescent="0.25">
      <c r="A87" s="1">
        <v>44803</v>
      </c>
      <c r="B87">
        <v>16138175</v>
      </c>
      <c r="C87" s="27" t="s">
        <v>7</v>
      </c>
      <c r="D87" s="27" t="s">
        <v>364</v>
      </c>
      <c r="E87" s="27" t="s">
        <v>10</v>
      </c>
      <c r="F87" s="27" t="s">
        <v>33</v>
      </c>
      <c r="G87" s="25">
        <v>44803.602326388886</v>
      </c>
    </row>
    <row r="88" spans="1:7" x14ac:dyDescent="0.25">
      <c r="A88" s="1">
        <v>44802</v>
      </c>
      <c r="B88">
        <v>16125172</v>
      </c>
      <c r="C88" s="27" t="s">
        <v>12</v>
      </c>
      <c r="D88" s="27" t="s">
        <v>365</v>
      </c>
      <c r="E88" s="27" t="s">
        <v>18</v>
      </c>
      <c r="F88" s="27" t="s">
        <v>33</v>
      </c>
      <c r="G88" s="25">
        <v>44799.594710648147</v>
      </c>
    </row>
    <row r="89" spans="1:7" x14ac:dyDescent="0.25">
      <c r="A89" s="1">
        <v>44802</v>
      </c>
      <c r="B89">
        <v>16125427</v>
      </c>
      <c r="C89" s="27" t="s">
        <v>14</v>
      </c>
      <c r="D89" s="27" t="s">
        <v>59</v>
      </c>
      <c r="E89" s="27" t="s">
        <v>18</v>
      </c>
      <c r="F89" s="27" t="s">
        <v>33</v>
      </c>
      <c r="G89" s="25">
        <v>44799.605983796297</v>
      </c>
    </row>
    <row r="90" spans="1:7" x14ac:dyDescent="0.25">
      <c r="A90" s="1">
        <v>44802</v>
      </c>
      <c r="B90">
        <v>16122577</v>
      </c>
      <c r="C90" s="27" t="s">
        <v>11</v>
      </c>
      <c r="D90" s="27" t="s">
        <v>62</v>
      </c>
      <c r="E90" s="27" t="s">
        <v>10</v>
      </c>
      <c r="F90" s="27" t="s">
        <v>33</v>
      </c>
      <c r="G90" s="25">
        <v>44799.349305555559</v>
      </c>
    </row>
    <row r="91" spans="1:7" x14ac:dyDescent="0.25">
      <c r="A91" s="1">
        <v>44802</v>
      </c>
      <c r="B91">
        <v>16124936</v>
      </c>
      <c r="C91" s="27" t="s">
        <v>14</v>
      </c>
      <c r="D91" s="27" t="s">
        <v>366</v>
      </c>
      <c r="E91" s="27" t="s">
        <v>10</v>
      </c>
      <c r="F91" s="27" t="s">
        <v>33</v>
      </c>
      <c r="G91" s="25">
        <v>44799.576828703706</v>
      </c>
    </row>
    <row r="92" spans="1:7" x14ac:dyDescent="0.25">
      <c r="A92" s="1">
        <v>44802</v>
      </c>
      <c r="B92">
        <v>16125332</v>
      </c>
      <c r="C92" s="27" t="s">
        <v>14</v>
      </c>
      <c r="D92" s="27" t="s">
        <v>340</v>
      </c>
      <c r="E92" s="27" t="s">
        <v>10</v>
      </c>
      <c r="F92" s="27" t="s">
        <v>33</v>
      </c>
      <c r="G92" s="25">
        <v>44799.599895833337</v>
      </c>
    </row>
    <row r="93" spans="1:7" x14ac:dyDescent="0.25">
      <c r="A93" s="1">
        <v>44802</v>
      </c>
      <c r="B93">
        <v>16125413</v>
      </c>
      <c r="C93" s="27" t="s">
        <v>14</v>
      </c>
      <c r="D93" s="27" t="s">
        <v>357</v>
      </c>
      <c r="E93" s="27" t="s">
        <v>10</v>
      </c>
      <c r="F93" s="27" t="s">
        <v>33</v>
      </c>
      <c r="G93" s="25">
        <v>44799.604641203703</v>
      </c>
    </row>
    <row r="94" spans="1:7" x14ac:dyDescent="0.25">
      <c r="A94" s="1">
        <v>44802</v>
      </c>
      <c r="B94">
        <v>16133116</v>
      </c>
      <c r="C94" s="27" t="s">
        <v>15</v>
      </c>
      <c r="D94" s="27" t="s">
        <v>367</v>
      </c>
      <c r="E94" s="27" t="s">
        <v>10</v>
      </c>
      <c r="F94" s="27" t="s">
        <v>33</v>
      </c>
      <c r="G94" s="25">
        <v>44802.61105324074</v>
      </c>
    </row>
    <row r="95" spans="1:7" x14ac:dyDescent="0.25">
      <c r="A95" s="1">
        <v>44801</v>
      </c>
      <c r="B95">
        <v>16125235</v>
      </c>
      <c r="C95" s="27" t="s">
        <v>14</v>
      </c>
      <c r="D95" s="27" t="s">
        <v>61</v>
      </c>
      <c r="E95" s="27" t="s">
        <v>28</v>
      </c>
      <c r="F95" s="27" t="s">
        <v>33</v>
      </c>
      <c r="G95" s="25">
        <v>44799.594421296293</v>
      </c>
    </row>
    <row r="96" spans="1:7" x14ac:dyDescent="0.25">
      <c r="A96" s="1">
        <v>44809</v>
      </c>
      <c r="B96">
        <v>16162054</v>
      </c>
      <c r="C96" s="27" t="s">
        <v>7</v>
      </c>
      <c r="D96" s="27" t="s">
        <v>675</v>
      </c>
      <c r="E96" s="27"/>
      <c r="F96" s="27" t="s">
        <v>33</v>
      </c>
      <c r="G96" s="25">
        <v>44809.646990740737</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3922E-47BC-4739-8A01-AC7988A96233}">
  <sheetPr codeName="Planilha7"/>
  <dimension ref="A1:H761"/>
  <sheetViews>
    <sheetView topLeftCell="B1" workbookViewId="0">
      <selection activeCell="E12" sqref="E12"/>
    </sheetView>
  </sheetViews>
  <sheetFormatPr defaultRowHeight="15" x14ac:dyDescent="0.25"/>
  <cols>
    <col min="1" max="1" width="5.140625" bestFit="1" customWidth="1"/>
    <col min="2" max="2" width="22.140625" bestFit="1" customWidth="1"/>
    <col min="3" max="3" width="9" bestFit="1" customWidth="1"/>
    <col min="4" max="4" width="18" bestFit="1" customWidth="1"/>
    <col min="5" max="5" width="81.140625" bestFit="1" customWidth="1"/>
    <col min="6" max="6" width="29" bestFit="1" customWidth="1"/>
    <col min="7" max="7" width="8.85546875" bestFit="1" customWidth="1"/>
    <col min="8" max="8" width="20.5703125" bestFit="1" customWidth="1"/>
    <col min="9" max="10" width="20.5703125" customWidth="1"/>
  </cols>
  <sheetData>
    <row r="1" spans="1:8" x14ac:dyDescent="0.25">
      <c r="A1" t="s">
        <v>34</v>
      </c>
      <c r="B1" t="s">
        <v>0</v>
      </c>
      <c r="C1" t="s">
        <v>1</v>
      </c>
      <c r="D1" t="s">
        <v>2</v>
      </c>
      <c r="E1" t="s">
        <v>3</v>
      </c>
      <c r="F1" t="s">
        <v>4</v>
      </c>
      <c r="G1" t="s">
        <v>5</v>
      </c>
      <c r="H1" t="s">
        <v>6</v>
      </c>
    </row>
    <row r="2" spans="1:8" x14ac:dyDescent="0.25">
      <c r="A2">
        <v>41</v>
      </c>
      <c r="B2" s="1">
        <v>44816</v>
      </c>
      <c r="C2" s="27">
        <v>16151384</v>
      </c>
      <c r="D2" s="27" t="s">
        <v>9</v>
      </c>
      <c r="E2" s="27" t="s">
        <v>691</v>
      </c>
      <c r="F2" s="27"/>
      <c r="G2" s="27" t="s">
        <v>8</v>
      </c>
      <c r="H2" s="25">
        <v>44806.384548611109</v>
      </c>
    </row>
    <row r="3" spans="1:8" x14ac:dyDescent="0.25">
      <c r="A3">
        <v>40</v>
      </c>
      <c r="B3" s="1">
        <v>44816</v>
      </c>
      <c r="C3" s="27">
        <v>16151349</v>
      </c>
      <c r="D3" s="27" t="s">
        <v>9</v>
      </c>
      <c r="E3" s="27" t="s">
        <v>68</v>
      </c>
      <c r="F3" s="27"/>
      <c r="G3" s="27" t="s">
        <v>8</v>
      </c>
      <c r="H3" s="25">
        <v>44806.38212962963</v>
      </c>
    </row>
    <row r="4" spans="1:8" x14ac:dyDescent="0.25">
      <c r="A4">
        <v>39</v>
      </c>
      <c r="B4" s="1">
        <v>44816</v>
      </c>
      <c r="C4" s="27">
        <v>16151317</v>
      </c>
      <c r="D4" s="27" t="s">
        <v>9</v>
      </c>
      <c r="E4" s="27" t="s">
        <v>690</v>
      </c>
      <c r="F4" s="27"/>
      <c r="G4" s="27" t="s">
        <v>8</v>
      </c>
      <c r="H4" s="25">
        <v>44806.379953703705</v>
      </c>
    </row>
    <row r="5" spans="1:8" x14ac:dyDescent="0.25">
      <c r="A5">
        <v>553</v>
      </c>
      <c r="B5" s="1">
        <v>44813</v>
      </c>
      <c r="C5" s="27">
        <v>16160197</v>
      </c>
      <c r="D5" s="27" t="s">
        <v>46</v>
      </c>
      <c r="E5" s="27" t="s">
        <v>451</v>
      </c>
      <c r="F5" s="27" t="s">
        <v>10</v>
      </c>
      <c r="G5" s="27" t="s">
        <v>29</v>
      </c>
      <c r="H5" s="25">
        <v>44809.466157407405</v>
      </c>
    </row>
    <row r="6" spans="1:8" x14ac:dyDescent="0.25">
      <c r="A6">
        <v>552</v>
      </c>
      <c r="B6" s="1">
        <v>44813</v>
      </c>
      <c r="C6" s="27">
        <v>16160179</v>
      </c>
      <c r="D6" s="27" t="s">
        <v>46</v>
      </c>
      <c r="E6" s="27" t="s">
        <v>689</v>
      </c>
      <c r="F6" s="27" t="s">
        <v>10</v>
      </c>
      <c r="G6" s="27" t="s">
        <v>29</v>
      </c>
      <c r="H6" s="25">
        <v>44809.4687962963</v>
      </c>
    </row>
    <row r="7" spans="1:8" x14ac:dyDescent="0.25">
      <c r="A7">
        <v>234</v>
      </c>
      <c r="B7" s="1">
        <v>44812</v>
      </c>
      <c r="C7" s="27">
        <v>16154680</v>
      </c>
      <c r="D7" s="27" t="s">
        <v>7</v>
      </c>
      <c r="E7" s="27" t="s">
        <v>605</v>
      </c>
      <c r="F7" s="27" t="s">
        <v>18</v>
      </c>
      <c r="G7" s="27" t="s">
        <v>30</v>
      </c>
      <c r="H7" s="25">
        <v>44806.654861111114</v>
      </c>
    </row>
    <row r="8" spans="1:8" x14ac:dyDescent="0.25">
      <c r="A8">
        <v>237</v>
      </c>
      <c r="B8" s="1">
        <v>44812</v>
      </c>
      <c r="C8" s="27">
        <v>16153783</v>
      </c>
      <c r="D8" s="27" t="s">
        <v>7</v>
      </c>
      <c r="E8" s="27" t="s">
        <v>529</v>
      </c>
      <c r="F8" s="27"/>
      <c r="G8" s="27" t="s">
        <v>30</v>
      </c>
      <c r="H8" s="25">
        <v>44806.615497685183</v>
      </c>
    </row>
    <row r="9" spans="1:8" x14ac:dyDescent="0.25">
      <c r="A9">
        <v>236</v>
      </c>
      <c r="B9" s="1">
        <v>44812</v>
      </c>
      <c r="C9" s="27">
        <v>16158700</v>
      </c>
      <c r="D9" s="27" t="s">
        <v>9</v>
      </c>
      <c r="E9" s="27" t="s">
        <v>45</v>
      </c>
      <c r="F9" s="27"/>
      <c r="G9" s="27" t="s">
        <v>30</v>
      </c>
      <c r="H9" s="25">
        <v>44809.409872685188</v>
      </c>
    </row>
    <row r="10" spans="1:8" x14ac:dyDescent="0.25">
      <c r="A10">
        <v>235</v>
      </c>
      <c r="B10" s="1">
        <v>44812</v>
      </c>
      <c r="C10" s="27">
        <v>16154756</v>
      </c>
      <c r="D10" s="27" t="s">
        <v>7</v>
      </c>
      <c r="E10" s="27" t="s">
        <v>606</v>
      </c>
      <c r="F10" s="27" t="s">
        <v>18</v>
      </c>
      <c r="G10" s="27" t="s">
        <v>30</v>
      </c>
      <c r="H10" s="25">
        <v>44806.655474537038</v>
      </c>
    </row>
    <row r="11" spans="1:8" x14ac:dyDescent="0.25">
      <c r="A11">
        <v>232</v>
      </c>
      <c r="B11" s="1">
        <v>44812</v>
      </c>
      <c r="C11" s="27">
        <v>16154654</v>
      </c>
      <c r="D11" s="27" t="s">
        <v>7</v>
      </c>
      <c r="E11" s="27" t="s">
        <v>603</v>
      </c>
      <c r="F11" s="27" t="s">
        <v>18</v>
      </c>
      <c r="G11" s="27" t="s">
        <v>30</v>
      </c>
      <c r="H11" s="25">
        <v>44806.653900462959</v>
      </c>
    </row>
    <row r="12" spans="1:8" x14ac:dyDescent="0.25">
      <c r="A12">
        <v>231</v>
      </c>
      <c r="B12" s="1">
        <v>44812</v>
      </c>
      <c r="C12" s="27">
        <v>16153100</v>
      </c>
      <c r="D12" s="27" t="s">
        <v>7</v>
      </c>
      <c r="E12" s="27" t="s">
        <v>507</v>
      </c>
      <c r="F12" s="27"/>
      <c r="G12" s="27" t="s">
        <v>30</v>
      </c>
      <c r="H12" s="25">
        <v>44806.578969907408</v>
      </c>
    </row>
    <row r="13" spans="1:8" x14ac:dyDescent="0.25">
      <c r="A13">
        <v>750</v>
      </c>
      <c r="B13" s="1">
        <v>44812</v>
      </c>
      <c r="C13" s="27">
        <v>16161324</v>
      </c>
      <c r="D13" s="27" t="s">
        <v>22</v>
      </c>
      <c r="E13" s="27" t="s">
        <v>626</v>
      </c>
      <c r="F13" s="27" t="s">
        <v>18</v>
      </c>
      <c r="G13" s="27" t="s">
        <v>20</v>
      </c>
      <c r="H13" s="25">
        <v>44809.584999999999</v>
      </c>
    </row>
    <row r="14" spans="1:8" x14ac:dyDescent="0.25">
      <c r="A14">
        <v>233</v>
      </c>
      <c r="B14" s="1">
        <v>44812</v>
      </c>
      <c r="C14" s="27">
        <v>16154715</v>
      </c>
      <c r="D14" s="27" t="s">
        <v>7</v>
      </c>
      <c r="E14" s="27" t="s">
        <v>604</v>
      </c>
      <c r="F14" s="27" t="s">
        <v>18</v>
      </c>
      <c r="G14" s="27" t="s">
        <v>30</v>
      </c>
      <c r="H14" s="25">
        <v>44806.654479166667</v>
      </c>
    </row>
    <row r="15" spans="1:8" x14ac:dyDescent="0.25">
      <c r="A15">
        <v>550</v>
      </c>
      <c r="B15" s="1">
        <v>44812</v>
      </c>
      <c r="C15" s="27">
        <v>16154611</v>
      </c>
      <c r="D15" s="27" t="s">
        <v>7</v>
      </c>
      <c r="E15" s="27" t="s">
        <v>611</v>
      </c>
      <c r="F15" s="27"/>
      <c r="G15" s="27" t="s">
        <v>29</v>
      </c>
      <c r="H15" s="25">
        <v>44806.652187500003</v>
      </c>
    </row>
    <row r="16" spans="1:8" x14ac:dyDescent="0.25">
      <c r="A16">
        <v>551</v>
      </c>
      <c r="B16" s="1">
        <v>44812</v>
      </c>
      <c r="C16" s="27">
        <v>16154777</v>
      </c>
      <c r="D16" s="27" t="s">
        <v>7</v>
      </c>
      <c r="E16" s="27" t="s">
        <v>610</v>
      </c>
      <c r="F16" s="27"/>
      <c r="G16" s="27" t="s">
        <v>29</v>
      </c>
      <c r="H16" s="25">
        <v>44806.652662037035</v>
      </c>
    </row>
    <row r="17" spans="1:8" x14ac:dyDescent="0.25">
      <c r="A17">
        <v>548</v>
      </c>
      <c r="B17" s="1">
        <v>44812</v>
      </c>
      <c r="C17" s="27">
        <v>16160184</v>
      </c>
      <c r="D17" s="27" t="s">
        <v>46</v>
      </c>
      <c r="E17" s="27" t="s">
        <v>451</v>
      </c>
      <c r="F17" s="27" t="s">
        <v>10</v>
      </c>
      <c r="G17" s="27" t="s">
        <v>29</v>
      </c>
      <c r="H17" s="25">
        <v>44809.458425925928</v>
      </c>
    </row>
    <row r="18" spans="1:8" x14ac:dyDescent="0.25">
      <c r="A18">
        <v>549</v>
      </c>
      <c r="B18" s="1">
        <v>44812</v>
      </c>
      <c r="C18" s="27">
        <v>16160171</v>
      </c>
      <c r="D18" s="27" t="s">
        <v>46</v>
      </c>
      <c r="E18" s="27" t="s">
        <v>689</v>
      </c>
      <c r="F18" s="27" t="s">
        <v>10</v>
      </c>
      <c r="G18" s="27" t="s">
        <v>29</v>
      </c>
      <c r="H18" s="25">
        <v>44809.468356481484</v>
      </c>
    </row>
    <row r="19" spans="1:8" x14ac:dyDescent="0.25">
      <c r="A19">
        <v>242</v>
      </c>
      <c r="B19" s="1">
        <v>44812</v>
      </c>
      <c r="C19" s="27">
        <v>16154579</v>
      </c>
      <c r="D19" s="27" t="s">
        <v>7</v>
      </c>
      <c r="E19" s="27" t="s">
        <v>602</v>
      </c>
      <c r="F19" s="27"/>
      <c r="G19" s="27" t="s">
        <v>30</v>
      </c>
      <c r="H19" s="25">
        <v>44806.639363425929</v>
      </c>
    </row>
    <row r="20" spans="1:8" x14ac:dyDescent="0.25">
      <c r="A20">
        <v>240</v>
      </c>
      <c r="B20" s="1">
        <v>44812</v>
      </c>
      <c r="C20" s="27">
        <v>16153985</v>
      </c>
      <c r="D20" s="27" t="s">
        <v>7</v>
      </c>
      <c r="E20" s="27" t="s">
        <v>533</v>
      </c>
      <c r="F20" s="27"/>
      <c r="G20" s="27" t="s">
        <v>30</v>
      </c>
      <c r="H20" s="25">
        <v>44806.617013888892</v>
      </c>
    </row>
    <row r="21" spans="1:8" x14ac:dyDescent="0.25">
      <c r="A21">
        <v>239</v>
      </c>
      <c r="B21" s="1">
        <v>44812</v>
      </c>
      <c r="C21" s="27">
        <v>16153946</v>
      </c>
      <c r="D21" s="27" t="s">
        <v>7</v>
      </c>
      <c r="E21" s="27" t="s">
        <v>532</v>
      </c>
      <c r="F21" s="27"/>
      <c r="G21" s="27" t="s">
        <v>30</v>
      </c>
      <c r="H21" s="25">
        <v>44806.616527777776</v>
      </c>
    </row>
    <row r="22" spans="1:8" x14ac:dyDescent="0.25">
      <c r="A22">
        <v>238</v>
      </c>
      <c r="B22" s="1">
        <v>44812</v>
      </c>
      <c r="C22" s="27">
        <v>16153886</v>
      </c>
      <c r="D22" s="27" t="s">
        <v>7</v>
      </c>
      <c r="E22" s="27" t="s">
        <v>531</v>
      </c>
      <c r="F22" s="27"/>
      <c r="G22" s="27" t="s">
        <v>30</v>
      </c>
      <c r="H22" s="25">
        <v>44806.616122685184</v>
      </c>
    </row>
    <row r="23" spans="1:8" x14ac:dyDescent="0.25">
      <c r="A23">
        <v>241</v>
      </c>
      <c r="B23" s="1">
        <v>44812</v>
      </c>
      <c r="C23" s="27">
        <v>16153982</v>
      </c>
      <c r="D23" s="27" t="s">
        <v>7</v>
      </c>
      <c r="E23" s="27" t="s">
        <v>526</v>
      </c>
      <c r="F23" s="27" t="s">
        <v>18</v>
      </c>
      <c r="G23" s="27" t="s">
        <v>30</v>
      </c>
      <c r="H23" s="25">
        <v>44806.608113425929</v>
      </c>
    </row>
    <row r="24" spans="1:8" x14ac:dyDescent="0.25">
      <c r="A24">
        <v>54</v>
      </c>
      <c r="B24" s="1">
        <v>44811</v>
      </c>
      <c r="C24" s="27">
        <v>16154113</v>
      </c>
      <c r="D24" s="27" t="s">
        <v>14</v>
      </c>
      <c r="E24" s="27" t="s">
        <v>595</v>
      </c>
      <c r="F24" s="27"/>
      <c r="G24" s="27" t="s">
        <v>8</v>
      </c>
      <c r="H24" s="25">
        <v>44806.613900462966</v>
      </c>
    </row>
    <row r="25" spans="1:8" x14ac:dyDescent="0.25">
      <c r="A25">
        <v>43</v>
      </c>
      <c r="B25" s="1">
        <v>44811</v>
      </c>
      <c r="C25" s="27">
        <v>16152579</v>
      </c>
      <c r="D25" s="27" t="s">
        <v>9</v>
      </c>
      <c r="E25" s="27" t="s">
        <v>585</v>
      </c>
      <c r="F25" s="27" t="s">
        <v>10</v>
      </c>
      <c r="G25" s="27" t="s">
        <v>8</v>
      </c>
      <c r="H25" s="25">
        <v>44806.495717592596</v>
      </c>
    </row>
    <row r="26" spans="1:8" x14ac:dyDescent="0.25">
      <c r="A26">
        <v>547</v>
      </c>
      <c r="B26" s="1">
        <v>44811</v>
      </c>
      <c r="C26" s="27">
        <v>16159488</v>
      </c>
      <c r="D26" s="27" t="s">
        <v>11</v>
      </c>
      <c r="E26" s="27" t="s">
        <v>424</v>
      </c>
      <c r="F26" s="27" t="s">
        <v>10</v>
      </c>
      <c r="G26" s="27" t="s">
        <v>29</v>
      </c>
      <c r="H26" s="25">
        <v>44809.386689814812</v>
      </c>
    </row>
    <row r="27" spans="1:8" x14ac:dyDescent="0.25">
      <c r="A27">
        <v>546</v>
      </c>
      <c r="B27" s="1">
        <v>44811</v>
      </c>
      <c r="C27" s="27">
        <v>16160163</v>
      </c>
      <c r="D27" s="27" t="s">
        <v>46</v>
      </c>
      <c r="E27" s="27" t="s">
        <v>689</v>
      </c>
      <c r="F27" s="27" t="s">
        <v>10</v>
      </c>
      <c r="G27" s="27" t="s">
        <v>29</v>
      </c>
      <c r="H27" s="25">
        <v>44809.46775462963</v>
      </c>
    </row>
    <row r="28" spans="1:8" x14ac:dyDescent="0.25">
      <c r="A28">
        <v>759</v>
      </c>
      <c r="B28" s="1">
        <v>44810</v>
      </c>
      <c r="C28" s="27">
        <v>16161934</v>
      </c>
      <c r="D28" s="27" t="s">
        <v>19</v>
      </c>
      <c r="E28" s="27" t="s">
        <v>635</v>
      </c>
      <c r="F28" s="27"/>
      <c r="G28" s="27" t="s">
        <v>20</v>
      </c>
      <c r="H28" s="25">
        <v>44809.637013888889</v>
      </c>
    </row>
    <row r="29" spans="1:8" x14ac:dyDescent="0.25">
      <c r="A29">
        <v>753</v>
      </c>
      <c r="B29" s="1">
        <v>44810</v>
      </c>
      <c r="C29" s="27">
        <v>16161437</v>
      </c>
      <c r="D29" s="27" t="s">
        <v>22</v>
      </c>
      <c r="E29" s="27" t="s">
        <v>629</v>
      </c>
      <c r="F29" s="27" t="s">
        <v>10</v>
      </c>
      <c r="G29" s="27" t="s">
        <v>20</v>
      </c>
      <c r="H29" s="25">
        <v>44809.594247685185</v>
      </c>
    </row>
    <row r="30" spans="1:8" x14ac:dyDescent="0.25">
      <c r="A30">
        <v>758</v>
      </c>
      <c r="B30" s="1">
        <v>44810</v>
      </c>
      <c r="C30" s="27">
        <v>16161804</v>
      </c>
      <c r="D30" s="27" t="s">
        <v>19</v>
      </c>
      <c r="E30" s="27" t="s">
        <v>634</v>
      </c>
      <c r="F30" s="27"/>
      <c r="G30" s="27" t="s">
        <v>20</v>
      </c>
      <c r="H30" s="25">
        <v>44809.626898148148</v>
      </c>
    </row>
    <row r="31" spans="1:8" x14ac:dyDescent="0.25">
      <c r="A31">
        <v>754</v>
      </c>
      <c r="B31" s="1">
        <v>44810</v>
      </c>
      <c r="C31" s="27">
        <v>16161459</v>
      </c>
      <c r="D31" s="27" t="s">
        <v>23</v>
      </c>
      <c r="E31" s="27" t="s">
        <v>630</v>
      </c>
      <c r="F31" s="27"/>
      <c r="G31" s="27" t="s">
        <v>20</v>
      </c>
      <c r="H31" s="25">
        <v>44809.595543981479</v>
      </c>
    </row>
    <row r="32" spans="1:8" x14ac:dyDescent="0.25">
      <c r="A32">
        <v>756</v>
      </c>
      <c r="B32" s="1">
        <v>44810</v>
      </c>
      <c r="C32" s="27">
        <v>16161673</v>
      </c>
      <c r="D32" s="27" t="s">
        <v>23</v>
      </c>
      <c r="E32" s="27" t="s">
        <v>632</v>
      </c>
      <c r="F32" s="27" t="s">
        <v>10</v>
      </c>
      <c r="G32" s="27" t="s">
        <v>20</v>
      </c>
      <c r="H32" s="25">
        <v>44809.613634259258</v>
      </c>
    </row>
    <row r="33" spans="1:8" x14ac:dyDescent="0.25">
      <c r="A33">
        <v>757</v>
      </c>
      <c r="B33" s="1">
        <v>44810</v>
      </c>
      <c r="C33" s="27">
        <v>16161753</v>
      </c>
      <c r="D33" s="27" t="s">
        <v>19</v>
      </c>
      <c r="E33" s="27" t="s">
        <v>633</v>
      </c>
      <c r="F33" s="27"/>
      <c r="G33" s="27" t="s">
        <v>20</v>
      </c>
      <c r="H33" s="25">
        <v>44809.623171296298</v>
      </c>
    </row>
    <row r="34" spans="1:8" x14ac:dyDescent="0.25">
      <c r="A34">
        <v>715</v>
      </c>
      <c r="B34" s="1">
        <v>44810</v>
      </c>
      <c r="C34" s="27">
        <v>16151496</v>
      </c>
      <c r="D34" s="27" t="s">
        <v>22</v>
      </c>
      <c r="E34" s="27" t="s">
        <v>489</v>
      </c>
      <c r="F34" s="27" t="s">
        <v>10</v>
      </c>
      <c r="G34" s="27" t="s">
        <v>20</v>
      </c>
      <c r="H34" s="25">
        <v>44806.394074074073</v>
      </c>
    </row>
    <row r="35" spans="1:8" x14ac:dyDescent="0.25">
      <c r="A35">
        <v>714</v>
      </c>
      <c r="B35" s="1">
        <v>44810</v>
      </c>
      <c r="C35" s="27">
        <v>16151478</v>
      </c>
      <c r="D35" s="27" t="s">
        <v>22</v>
      </c>
      <c r="E35" s="27" t="s">
        <v>490</v>
      </c>
      <c r="F35" s="27" t="s">
        <v>10</v>
      </c>
      <c r="G35" s="27" t="s">
        <v>20</v>
      </c>
      <c r="H35" s="25">
        <v>44806.394490740742</v>
      </c>
    </row>
    <row r="36" spans="1:8" x14ac:dyDescent="0.25">
      <c r="A36">
        <v>166</v>
      </c>
      <c r="B36" s="1">
        <v>44810</v>
      </c>
      <c r="C36" s="27">
        <v>16161239</v>
      </c>
      <c r="D36" s="27" t="s">
        <v>15</v>
      </c>
      <c r="E36" s="27" t="s">
        <v>649</v>
      </c>
      <c r="F36" s="27" t="s">
        <v>10</v>
      </c>
      <c r="G36" s="27" t="s">
        <v>32</v>
      </c>
      <c r="H36" s="25">
        <v>44809.577476851853</v>
      </c>
    </row>
    <row r="37" spans="1:8" x14ac:dyDescent="0.25">
      <c r="A37">
        <v>741</v>
      </c>
      <c r="B37" s="1">
        <v>44810</v>
      </c>
      <c r="C37" s="27">
        <v>16159399</v>
      </c>
      <c r="D37" s="27" t="s">
        <v>27</v>
      </c>
      <c r="E37" s="27" t="s">
        <v>193</v>
      </c>
      <c r="F37" s="27" t="s">
        <v>10</v>
      </c>
      <c r="G37" s="27" t="s">
        <v>20</v>
      </c>
      <c r="H37" s="25">
        <v>44809.382025462961</v>
      </c>
    </row>
    <row r="38" spans="1:8" x14ac:dyDescent="0.25">
      <c r="A38">
        <v>743</v>
      </c>
      <c r="B38" s="1">
        <v>44810</v>
      </c>
      <c r="C38" s="27">
        <v>16161047</v>
      </c>
      <c r="D38" s="27" t="s">
        <v>19</v>
      </c>
      <c r="E38" s="27" t="s">
        <v>620</v>
      </c>
      <c r="F38" s="27"/>
      <c r="G38" s="27" t="s">
        <v>20</v>
      </c>
      <c r="H38" s="25">
        <v>44809.567442129628</v>
      </c>
    </row>
    <row r="39" spans="1:8" x14ac:dyDescent="0.25">
      <c r="A39">
        <v>729</v>
      </c>
      <c r="B39" s="1">
        <v>44810</v>
      </c>
      <c r="C39" s="27">
        <v>16153507</v>
      </c>
      <c r="D39" s="27" t="s">
        <v>22</v>
      </c>
      <c r="E39" s="27" t="s">
        <v>502</v>
      </c>
      <c r="F39" s="27" t="s">
        <v>10</v>
      </c>
      <c r="G39" s="27" t="s">
        <v>20</v>
      </c>
      <c r="H39" s="25">
        <v>44806.581747685188</v>
      </c>
    </row>
    <row r="40" spans="1:8" x14ac:dyDescent="0.25">
      <c r="A40">
        <v>169</v>
      </c>
      <c r="B40" s="1">
        <v>44810</v>
      </c>
      <c r="C40" s="27">
        <v>16161106</v>
      </c>
      <c r="D40" s="27" t="s">
        <v>11</v>
      </c>
      <c r="E40" s="27" t="s">
        <v>652</v>
      </c>
      <c r="F40" s="27"/>
      <c r="G40" s="27" t="s">
        <v>32</v>
      </c>
      <c r="H40" s="25">
        <v>44809.570092592592</v>
      </c>
    </row>
    <row r="41" spans="1:8" x14ac:dyDescent="0.25">
      <c r="A41">
        <v>168</v>
      </c>
      <c r="B41" s="1">
        <v>44810</v>
      </c>
      <c r="C41" s="27">
        <v>16161181</v>
      </c>
      <c r="D41" s="27" t="s">
        <v>7</v>
      </c>
      <c r="E41" s="27" t="s">
        <v>651</v>
      </c>
      <c r="F41" s="27"/>
      <c r="G41" s="27" t="s">
        <v>32</v>
      </c>
      <c r="H41" s="25">
        <v>44809.574074074073</v>
      </c>
    </row>
    <row r="42" spans="1:8" x14ac:dyDescent="0.25">
      <c r="A42">
        <v>744</v>
      </c>
      <c r="B42" s="1">
        <v>44810</v>
      </c>
      <c r="C42" s="27">
        <v>16161012</v>
      </c>
      <c r="D42" s="27" t="s">
        <v>25</v>
      </c>
      <c r="E42" s="27" t="s">
        <v>181</v>
      </c>
      <c r="F42" s="27"/>
      <c r="G42" s="27" t="s">
        <v>20</v>
      </c>
      <c r="H42" s="25">
        <v>44809.572395833333</v>
      </c>
    </row>
    <row r="43" spans="1:8" x14ac:dyDescent="0.25">
      <c r="A43">
        <v>748</v>
      </c>
      <c r="B43" s="1">
        <v>44810</v>
      </c>
      <c r="C43" s="27">
        <v>16161271</v>
      </c>
      <c r="D43" s="27" t="s">
        <v>22</v>
      </c>
      <c r="E43" s="27" t="s">
        <v>624</v>
      </c>
      <c r="F43" s="27"/>
      <c r="G43" s="27" t="s">
        <v>20</v>
      </c>
      <c r="H43" s="25">
        <v>44809.579733796294</v>
      </c>
    </row>
    <row r="44" spans="1:8" x14ac:dyDescent="0.25">
      <c r="A44">
        <v>751</v>
      </c>
      <c r="B44" s="1">
        <v>44810</v>
      </c>
      <c r="C44" s="27">
        <v>16161355</v>
      </c>
      <c r="D44" s="27" t="s">
        <v>19</v>
      </c>
      <c r="E44" s="27" t="s">
        <v>627</v>
      </c>
      <c r="F44" s="27" t="s">
        <v>10</v>
      </c>
      <c r="G44" s="27" t="s">
        <v>20</v>
      </c>
      <c r="H44" s="25">
        <v>44809.587696759256</v>
      </c>
    </row>
    <row r="45" spans="1:8" x14ac:dyDescent="0.25">
      <c r="A45">
        <v>752</v>
      </c>
      <c r="B45" s="1">
        <v>44810</v>
      </c>
      <c r="C45" s="27">
        <v>16161421</v>
      </c>
      <c r="D45" s="27" t="s">
        <v>19</v>
      </c>
      <c r="E45" s="27" t="s">
        <v>628</v>
      </c>
      <c r="F45" s="27"/>
      <c r="G45" s="27" t="s">
        <v>20</v>
      </c>
      <c r="H45" s="25">
        <v>44809.592662037037</v>
      </c>
    </row>
    <row r="46" spans="1:8" x14ac:dyDescent="0.25">
      <c r="A46">
        <v>745</v>
      </c>
      <c r="B46" s="1">
        <v>44810</v>
      </c>
      <c r="C46" s="27">
        <v>16161061</v>
      </c>
      <c r="D46" s="27" t="s">
        <v>25</v>
      </c>
      <c r="E46" s="27" t="s">
        <v>621</v>
      </c>
      <c r="F46" s="27"/>
      <c r="G46" s="27" t="s">
        <v>20</v>
      </c>
      <c r="H46" s="25">
        <v>44809.572708333333</v>
      </c>
    </row>
    <row r="47" spans="1:8" x14ac:dyDescent="0.25">
      <c r="A47">
        <v>746</v>
      </c>
      <c r="B47" s="1">
        <v>44810</v>
      </c>
      <c r="C47" s="27">
        <v>16161024</v>
      </c>
      <c r="D47" s="27" t="s">
        <v>25</v>
      </c>
      <c r="E47" s="27" t="s">
        <v>622</v>
      </c>
      <c r="F47" s="27"/>
      <c r="G47" s="27" t="s">
        <v>20</v>
      </c>
      <c r="H47" s="25">
        <v>44809.573379629626</v>
      </c>
    </row>
    <row r="48" spans="1:8" x14ac:dyDescent="0.25">
      <c r="A48">
        <v>747</v>
      </c>
      <c r="B48" s="1">
        <v>44810</v>
      </c>
      <c r="C48" s="27">
        <v>16161215</v>
      </c>
      <c r="D48" s="27" t="s">
        <v>22</v>
      </c>
      <c r="E48" s="27" t="s">
        <v>623</v>
      </c>
      <c r="F48" s="27" t="s">
        <v>10</v>
      </c>
      <c r="G48" s="27" t="s">
        <v>20</v>
      </c>
      <c r="H48" s="25">
        <v>44809.576469907406</v>
      </c>
    </row>
    <row r="49" spans="1:8" x14ac:dyDescent="0.25">
      <c r="A49">
        <v>537</v>
      </c>
      <c r="B49" s="1">
        <v>44810</v>
      </c>
      <c r="C49" s="27">
        <v>16161470</v>
      </c>
      <c r="D49" s="27" t="s">
        <v>14</v>
      </c>
      <c r="E49" s="27" t="s">
        <v>410</v>
      </c>
      <c r="F49" s="27" t="s">
        <v>10</v>
      </c>
      <c r="G49" s="27" t="s">
        <v>29</v>
      </c>
      <c r="H49" s="25">
        <v>44809.599675925929</v>
      </c>
    </row>
    <row r="50" spans="1:8" x14ac:dyDescent="0.25">
      <c r="A50">
        <v>536</v>
      </c>
      <c r="B50" s="1">
        <v>44810</v>
      </c>
      <c r="C50" s="27">
        <v>16161482</v>
      </c>
      <c r="D50" s="27" t="s">
        <v>14</v>
      </c>
      <c r="E50" s="27" t="s">
        <v>447</v>
      </c>
      <c r="F50" s="27" t="s">
        <v>10</v>
      </c>
      <c r="G50" s="27" t="s">
        <v>29</v>
      </c>
      <c r="H50" s="25">
        <v>44809.599988425929</v>
      </c>
    </row>
    <row r="51" spans="1:8" x14ac:dyDescent="0.25">
      <c r="A51">
        <v>539</v>
      </c>
      <c r="B51" s="1">
        <v>44810</v>
      </c>
      <c r="C51" s="27">
        <v>16160131</v>
      </c>
      <c r="D51" s="27" t="s">
        <v>11</v>
      </c>
      <c r="E51" s="27" t="s">
        <v>686</v>
      </c>
      <c r="F51" s="27" t="s">
        <v>10</v>
      </c>
      <c r="G51" s="27" t="s">
        <v>29</v>
      </c>
      <c r="H51" s="25">
        <v>44809.444479166668</v>
      </c>
    </row>
    <row r="52" spans="1:8" x14ac:dyDescent="0.25">
      <c r="A52">
        <v>538</v>
      </c>
      <c r="B52" s="1">
        <v>44810</v>
      </c>
      <c r="C52" s="27">
        <v>16161460</v>
      </c>
      <c r="D52" s="27" t="s">
        <v>14</v>
      </c>
      <c r="E52" s="27" t="s">
        <v>685</v>
      </c>
      <c r="F52" s="27" t="s">
        <v>10</v>
      </c>
      <c r="G52" s="27" t="s">
        <v>29</v>
      </c>
      <c r="H52" s="25">
        <v>44809.599386574075</v>
      </c>
    </row>
    <row r="53" spans="1:8" x14ac:dyDescent="0.25">
      <c r="A53">
        <v>533</v>
      </c>
      <c r="B53" s="1">
        <v>44810</v>
      </c>
      <c r="C53" s="27">
        <v>16161190</v>
      </c>
      <c r="D53" s="27" t="s">
        <v>15</v>
      </c>
      <c r="E53" s="27" t="s">
        <v>568</v>
      </c>
      <c r="F53" s="27" t="s">
        <v>10</v>
      </c>
      <c r="G53" s="27" t="s">
        <v>29</v>
      </c>
      <c r="H53" s="25">
        <v>44809.575208333335</v>
      </c>
    </row>
    <row r="54" spans="1:8" x14ac:dyDescent="0.25">
      <c r="A54">
        <v>83</v>
      </c>
      <c r="B54" s="1">
        <v>44810</v>
      </c>
      <c r="C54" s="27">
        <v>16161602</v>
      </c>
      <c r="D54" s="27" t="s">
        <v>14</v>
      </c>
      <c r="E54" s="27" t="s">
        <v>665</v>
      </c>
      <c r="F54" s="27" t="s">
        <v>10</v>
      </c>
      <c r="G54" s="27" t="s">
        <v>33</v>
      </c>
      <c r="H54" s="25">
        <v>44809.607442129629</v>
      </c>
    </row>
    <row r="55" spans="1:8" x14ac:dyDescent="0.25">
      <c r="A55">
        <v>535</v>
      </c>
      <c r="B55" s="1">
        <v>44810</v>
      </c>
      <c r="C55" s="27">
        <v>16160152</v>
      </c>
      <c r="D55" s="27" t="s">
        <v>11</v>
      </c>
      <c r="E55" s="27" t="s">
        <v>684</v>
      </c>
      <c r="F55" s="27" t="s">
        <v>10</v>
      </c>
      <c r="G55" s="27" t="s">
        <v>29</v>
      </c>
      <c r="H55" s="25">
        <v>44809.446122685185</v>
      </c>
    </row>
    <row r="56" spans="1:8" x14ac:dyDescent="0.25">
      <c r="A56">
        <v>534</v>
      </c>
      <c r="B56" s="1">
        <v>44810</v>
      </c>
      <c r="C56" s="27">
        <v>16161147</v>
      </c>
      <c r="D56" s="27" t="s">
        <v>12</v>
      </c>
      <c r="E56" s="27" t="s">
        <v>683</v>
      </c>
      <c r="F56" s="27" t="s">
        <v>10</v>
      </c>
      <c r="G56" s="27" t="s">
        <v>29</v>
      </c>
      <c r="H56" s="25">
        <v>44809.57439814815</v>
      </c>
    </row>
    <row r="57" spans="1:8" x14ac:dyDescent="0.25">
      <c r="A57">
        <v>545</v>
      </c>
      <c r="B57" s="1">
        <v>44810</v>
      </c>
      <c r="C57" s="27">
        <v>16159424</v>
      </c>
      <c r="D57" s="27" t="s">
        <v>14</v>
      </c>
      <c r="E57" s="27" t="s">
        <v>688</v>
      </c>
      <c r="F57" s="27" t="s">
        <v>10</v>
      </c>
      <c r="G57" s="27" t="s">
        <v>29</v>
      </c>
      <c r="H57" s="25">
        <v>44809.382361111115</v>
      </c>
    </row>
    <row r="58" spans="1:8" x14ac:dyDescent="0.25">
      <c r="A58">
        <v>544</v>
      </c>
      <c r="B58" s="1">
        <v>44810</v>
      </c>
      <c r="C58" s="27">
        <v>16159628</v>
      </c>
      <c r="D58" s="27" t="s">
        <v>11</v>
      </c>
      <c r="E58" s="27" t="s">
        <v>436</v>
      </c>
      <c r="F58" s="27" t="s">
        <v>10</v>
      </c>
      <c r="G58" s="27" t="s">
        <v>29</v>
      </c>
      <c r="H58" s="25">
        <v>44809.397916666669</v>
      </c>
    </row>
    <row r="59" spans="1:8" x14ac:dyDescent="0.25">
      <c r="A59">
        <v>72</v>
      </c>
      <c r="B59" s="1">
        <v>44810</v>
      </c>
      <c r="C59" s="27">
        <v>16160183</v>
      </c>
      <c r="D59" s="27" t="s">
        <v>11</v>
      </c>
      <c r="E59" s="27" t="s">
        <v>659</v>
      </c>
      <c r="F59" s="27" t="s">
        <v>10</v>
      </c>
      <c r="G59" s="27" t="s">
        <v>33</v>
      </c>
      <c r="H59" s="25">
        <v>44809.450358796297</v>
      </c>
    </row>
    <row r="60" spans="1:8" x14ac:dyDescent="0.25">
      <c r="A60">
        <v>71</v>
      </c>
      <c r="B60" s="1">
        <v>44810</v>
      </c>
      <c r="C60" s="27">
        <v>16159962</v>
      </c>
      <c r="D60" s="27" t="s">
        <v>11</v>
      </c>
      <c r="E60" s="27" t="s">
        <v>658</v>
      </c>
      <c r="F60" s="27" t="s">
        <v>18</v>
      </c>
      <c r="G60" s="27" t="s">
        <v>33</v>
      </c>
      <c r="H60" s="25">
        <v>44809.438900462963</v>
      </c>
    </row>
    <row r="61" spans="1:8" x14ac:dyDescent="0.25">
      <c r="A61">
        <v>541</v>
      </c>
      <c r="B61" s="1">
        <v>44810</v>
      </c>
      <c r="C61" s="27">
        <v>16147017</v>
      </c>
      <c r="D61" s="27" t="s">
        <v>46</v>
      </c>
      <c r="E61" s="27" t="s">
        <v>451</v>
      </c>
      <c r="F61" s="27" t="s">
        <v>24</v>
      </c>
      <c r="G61" s="27" t="s">
        <v>29</v>
      </c>
      <c r="H61" s="25">
        <v>44805.570810185185</v>
      </c>
    </row>
    <row r="62" spans="1:8" x14ac:dyDescent="0.25">
      <c r="A62">
        <v>540</v>
      </c>
      <c r="B62" s="1">
        <v>44810</v>
      </c>
      <c r="C62" s="27">
        <v>16159374</v>
      </c>
      <c r="D62" s="27" t="s">
        <v>11</v>
      </c>
      <c r="E62" s="27" t="s">
        <v>437</v>
      </c>
      <c r="F62" s="27" t="s">
        <v>10</v>
      </c>
      <c r="G62" s="27" t="s">
        <v>29</v>
      </c>
      <c r="H62" s="25">
        <v>44809.38040509259</v>
      </c>
    </row>
    <row r="63" spans="1:8" x14ac:dyDescent="0.25">
      <c r="A63">
        <v>543</v>
      </c>
      <c r="B63" s="1">
        <v>44810</v>
      </c>
      <c r="C63" s="27">
        <v>16160111</v>
      </c>
      <c r="D63" s="27" t="s">
        <v>11</v>
      </c>
      <c r="E63" s="27" t="s">
        <v>687</v>
      </c>
      <c r="F63" s="27" t="s">
        <v>10</v>
      </c>
      <c r="G63" s="27" t="s">
        <v>29</v>
      </c>
      <c r="H63" s="25">
        <v>44809.443055555559</v>
      </c>
    </row>
    <row r="64" spans="1:8" x14ac:dyDescent="0.25">
      <c r="A64">
        <v>542</v>
      </c>
      <c r="B64" s="1">
        <v>44810</v>
      </c>
      <c r="C64" s="27">
        <v>16159345</v>
      </c>
      <c r="D64" s="27" t="s">
        <v>14</v>
      </c>
      <c r="E64" s="27" t="s">
        <v>564</v>
      </c>
      <c r="F64" s="27" t="s">
        <v>10</v>
      </c>
      <c r="G64" s="27" t="s">
        <v>29</v>
      </c>
      <c r="H64" s="25">
        <v>44806.627372685187</v>
      </c>
    </row>
    <row r="65" spans="1:8" x14ac:dyDescent="0.25">
      <c r="A65">
        <v>61</v>
      </c>
      <c r="B65" s="1">
        <v>44810</v>
      </c>
      <c r="C65" s="27">
        <v>16154384</v>
      </c>
      <c r="D65" s="27" t="s">
        <v>7</v>
      </c>
      <c r="E65" s="27" t="s">
        <v>614</v>
      </c>
      <c r="F65" s="27" t="s">
        <v>10</v>
      </c>
      <c r="G65" s="27" t="s">
        <v>8</v>
      </c>
      <c r="H65" s="25">
        <v>44806.636030092595</v>
      </c>
    </row>
    <row r="66" spans="1:8" x14ac:dyDescent="0.25">
      <c r="A66">
        <v>66</v>
      </c>
      <c r="B66" s="1">
        <v>44810</v>
      </c>
      <c r="C66" s="27">
        <v>16160047</v>
      </c>
      <c r="D66" s="27" t="s">
        <v>11</v>
      </c>
      <c r="E66" s="27" t="s">
        <v>695</v>
      </c>
      <c r="F66" s="27" t="s">
        <v>10</v>
      </c>
      <c r="G66" s="27" t="s">
        <v>8</v>
      </c>
      <c r="H66" s="25">
        <v>44809.435856481483</v>
      </c>
    </row>
    <row r="67" spans="1:8" x14ac:dyDescent="0.25">
      <c r="A67">
        <v>74</v>
      </c>
      <c r="B67" s="1">
        <v>44810</v>
      </c>
      <c r="C67" s="27">
        <v>16160634</v>
      </c>
      <c r="D67" s="27" t="s">
        <v>15</v>
      </c>
      <c r="E67" s="27" t="s">
        <v>661</v>
      </c>
      <c r="F67" s="27" t="s">
        <v>10</v>
      </c>
      <c r="G67" s="27" t="s">
        <v>33</v>
      </c>
      <c r="H67" s="25">
        <v>44809.523842592593</v>
      </c>
    </row>
    <row r="68" spans="1:8" x14ac:dyDescent="0.25">
      <c r="A68">
        <v>73</v>
      </c>
      <c r="B68" s="1">
        <v>44810</v>
      </c>
      <c r="C68" s="27">
        <v>16160615</v>
      </c>
      <c r="D68" s="27" t="s">
        <v>15</v>
      </c>
      <c r="E68" s="27" t="s">
        <v>660</v>
      </c>
      <c r="F68" s="27" t="s">
        <v>10</v>
      </c>
      <c r="G68" s="27" t="s">
        <v>33</v>
      </c>
      <c r="H68" s="25">
        <v>44809.522210648145</v>
      </c>
    </row>
    <row r="69" spans="1:8" x14ac:dyDescent="0.25">
      <c r="A69">
        <v>69</v>
      </c>
      <c r="B69" s="1">
        <v>44810</v>
      </c>
      <c r="C69" s="27">
        <v>16161632</v>
      </c>
      <c r="D69" s="27" t="s">
        <v>11</v>
      </c>
      <c r="E69" s="27" t="s">
        <v>481</v>
      </c>
      <c r="F69" s="27"/>
      <c r="G69" s="27" t="s">
        <v>8</v>
      </c>
      <c r="H69" s="25">
        <v>44809.609722222223</v>
      </c>
    </row>
    <row r="70" spans="1:8" x14ac:dyDescent="0.25">
      <c r="A70">
        <v>70</v>
      </c>
      <c r="B70" s="1">
        <v>44810</v>
      </c>
      <c r="C70" s="27">
        <v>16161659</v>
      </c>
      <c r="D70" s="27" t="s">
        <v>11</v>
      </c>
      <c r="E70" s="27" t="s">
        <v>485</v>
      </c>
      <c r="F70" s="27"/>
      <c r="G70" s="27" t="s">
        <v>8</v>
      </c>
      <c r="H70" s="25">
        <v>44809.612337962964</v>
      </c>
    </row>
    <row r="71" spans="1:8" x14ac:dyDescent="0.25">
      <c r="A71">
        <v>67</v>
      </c>
      <c r="B71" s="1">
        <v>44810</v>
      </c>
      <c r="C71" s="27">
        <v>16161521</v>
      </c>
      <c r="D71" s="27" t="s">
        <v>15</v>
      </c>
      <c r="E71" s="27" t="s">
        <v>696</v>
      </c>
      <c r="F71" s="27"/>
      <c r="G71" s="27" t="s">
        <v>8</v>
      </c>
      <c r="H71" s="25">
        <v>44809.601180555554</v>
      </c>
    </row>
    <row r="72" spans="1:8" x14ac:dyDescent="0.25">
      <c r="A72">
        <v>68</v>
      </c>
      <c r="B72" s="1">
        <v>44810</v>
      </c>
      <c r="C72" s="27">
        <v>16161535</v>
      </c>
      <c r="D72" s="27" t="s">
        <v>12</v>
      </c>
      <c r="E72" s="27" t="s">
        <v>697</v>
      </c>
      <c r="F72" s="27"/>
      <c r="G72" s="27" t="s">
        <v>8</v>
      </c>
      <c r="H72" s="25">
        <v>44809.60255787037</v>
      </c>
    </row>
    <row r="73" spans="1:8" x14ac:dyDescent="0.25">
      <c r="A73">
        <v>80</v>
      </c>
      <c r="B73" s="1">
        <v>44810</v>
      </c>
      <c r="C73" s="27">
        <v>16161319</v>
      </c>
      <c r="D73" s="27" t="s">
        <v>12</v>
      </c>
      <c r="E73" s="27" t="s">
        <v>545</v>
      </c>
      <c r="F73" s="27"/>
      <c r="G73" s="27" t="s">
        <v>33</v>
      </c>
      <c r="H73" s="25">
        <v>44809.591608796298</v>
      </c>
    </row>
    <row r="74" spans="1:8" x14ac:dyDescent="0.25">
      <c r="A74">
        <v>79</v>
      </c>
      <c r="B74" s="1">
        <v>44810</v>
      </c>
      <c r="C74" s="27">
        <v>16161394</v>
      </c>
      <c r="D74" s="27" t="s">
        <v>15</v>
      </c>
      <c r="E74" s="27" t="s">
        <v>663</v>
      </c>
      <c r="F74" s="27"/>
      <c r="G74" s="27" t="s">
        <v>33</v>
      </c>
      <c r="H74" s="25">
        <v>44809.590428240743</v>
      </c>
    </row>
    <row r="75" spans="1:8" x14ac:dyDescent="0.25">
      <c r="A75">
        <v>82</v>
      </c>
      <c r="B75" s="1">
        <v>44810</v>
      </c>
      <c r="C75" s="27">
        <v>16161564</v>
      </c>
      <c r="D75" s="27" t="s">
        <v>7</v>
      </c>
      <c r="E75" s="27" t="s">
        <v>664</v>
      </c>
      <c r="F75" s="27" t="s">
        <v>18</v>
      </c>
      <c r="G75" s="27" t="s">
        <v>33</v>
      </c>
      <c r="H75" s="25">
        <v>44809.605949074074</v>
      </c>
    </row>
    <row r="76" spans="1:8" x14ac:dyDescent="0.25">
      <c r="A76">
        <v>81</v>
      </c>
      <c r="B76" s="1">
        <v>44810</v>
      </c>
      <c r="C76" s="27">
        <v>16161580</v>
      </c>
      <c r="D76" s="27" t="s">
        <v>14</v>
      </c>
      <c r="E76" s="27" t="s">
        <v>553</v>
      </c>
      <c r="F76" s="27"/>
      <c r="G76" s="27" t="s">
        <v>33</v>
      </c>
      <c r="H76" s="25">
        <v>44809.605821759258</v>
      </c>
    </row>
    <row r="77" spans="1:8" x14ac:dyDescent="0.25">
      <c r="A77">
        <v>76</v>
      </c>
      <c r="B77" s="1">
        <v>44810</v>
      </c>
      <c r="C77" s="27">
        <v>16160982</v>
      </c>
      <c r="D77" s="27" t="s">
        <v>7</v>
      </c>
      <c r="E77" s="27" t="s">
        <v>662</v>
      </c>
      <c r="F77" s="27" t="s">
        <v>10</v>
      </c>
      <c r="G77" s="27" t="s">
        <v>33</v>
      </c>
      <c r="H77" s="25">
        <v>44809.561284722222</v>
      </c>
    </row>
    <row r="78" spans="1:8" x14ac:dyDescent="0.25">
      <c r="A78">
        <v>75</v>
      </c>
      <c r="B78" s="1">
        <v>44810</v>
      </c>
      <c r="C78" s="27">
        <v>16160759</v>
      </c>
      <c r="D78" s="27" t="s">
        <v>14</v>
      </c>
      <c r="E78" s="27" t="s">
        <v>61</v>
      </c>
      <c r="F78" s="27" t="s">
        <v>10</v>
      </c>
      <c r="G78" s="27" t="s">
        <v>33</v>
      </c>
      <c r="H78" s="25">
        <v>44809.540451388886</v>
      </c>
    </row>
    <row r="79" spans="1:8" x14ac:dyDescent="0.25">
      <c r="A79">
        <v>78</v>
      </c>
      <c r="B79" s="1">
        <v>44810</v>
      </c>
      <c r="C79" s="27">
        <v>16161301</v>
      </c>
      <c r="D79" s="27" t="s">
        <v>14</v>
      </c>
      <c r="E79" s="27" t="s">
        <v>547</v>
      </c>
      <c r="F79" s="27"/>
      <c r="G79" s="27" t="s">
        <v>33</v>
      </c>
      <c r="H79" s="25">
        <v>44809.582731481481</v>
      </c>
    </row>
    <row r="80" spans="1:8" x14ac:dyDescent="0.25">
      <c r="A80">
        <v>77</v>
      </c>
      <c r="B80" s="1">
        <v>44810</v>
      </c>
      <c r="C80" s="27">
        <v>1616105</v>
      </c>
      <c r="D80" s="27" t="s">
        <v>14</v>
      </c>
      <c r="E80" s="27" t="s">
        <v>359</v>
      </c>
      <c r="F80" s="27"/>
      <c r="G80" s="27" t="s">
        <v>33</v>
      </c>
      <c r="H80" s="25">
        <v>44809.581967592596</v>
      </c>
    </row>
    <row r="81" spans="1:8" x14ac:dyDescent="0.25">
      <c r="A81">
        <v>258</v>
      </c>
      <c r="B81" s="1">
        <v>44810</v>
      </c>
      <c r="C81" s="27">
        <v>16161841</v>
      </c>
      <c r="D81" s="27" t="s">
        <v>14</v>
      </c>
      <c r="E81" s="27" t="s">
        <v>641</v>
      </c>
      <c r="F81" s="27"/>
      <c r="G81" s="27" t="s">
        <v>30</v>
      </c>
      <c r="H81" s="25">
        <v>44809.628553240742</v>
      </c>
    </row>
    <row r="82" spans="1:8" x14ac:dyDescent="0.25">
      <c r="A82">
        <v>248</v>
      </c>
      <c r="B82" s="1">
        <v>44810</v>
      </c>
      <c r="C82" s="27">
        <v>16154238</v>
      </c>
      <c r="D82" s="27" t="s">
        <v>12</v>
      </c>
      <c r="E82" s="27" t="s">
        <v>541</v>
      </c>
      <c r="F82" s="27"/>
      <c r="G82" s="27" t="s">
        <v>30</v>
      </c>
      <c r="H82" s="25">
        <v>44806.622199074074</v>
      </c>
    </row>
    <row r="83" spans="1:8" x14ac:dyDescent="0.25">
      <c r="A83">
        <v>249</v>
      </c>
      <c r="B83" s="1">
        <v>44810</v>
      </c>
      <c r="C83" s="27">
        <v>16154257</v>
      </c>
      <c r="D83" s="27" t="s">
        <v>12</v>
      </c>
      <c r="E83" s="27" t="s">
        <v>542</v>
      </c>
      <c r="F83" s="27"/>
      <c r="G83" s="27" t="s">
        <v>30</v>
      </c>
      <c r="H83" s="25">
        <v>44806.622488425928</v>
      </c>
    </row>
    <row r="84" spans="1:8" x14ac:dyDescent="0.25">
      <c r="A84">
        <v>246</v>
      </c>
      <c r="B84" s="1">
        <v>44810</v>
      </c>
      <c r="C84" s="27">
        <v>16154196</v>
      </c>
      <c r="D84" s="27" t="s">
        <v>12</v>
      </c>
      <c r="E84" s="27" t="s">
        <v>539</v>
      </c>
      <c r="F84" s="27" t="s">
        <v>10</v>
      </c>
      <c r="G84" s="27" t="s">
        <v>30</v>
      </c>
      <c r="H84" s="25">
        <v>44806.621469907404</v>
      </c>
    </row>
    <row r="85" spans="1:8" x14ac:dyDescent="0.25">
      <c r="A85">
        <v>247</v>
      </c>
      <c r="B85" s="1">
        <v>44810</v>
      </c>
      <c r="C85" s="27">
        <v>16154215</v>
      </c>
      <c r="D85" s="27" t="s">
        <v>12</v>
      </c>
      <c r="E85" s="27" t="s">
        <v>540</v>
      </c>
      <c r="F85" s="27"/>
      <c r="G85" s="27" t="s">
        <v>30</v>
      </c>
      <c r="H85" s="25">
        <v>44806.621863425928</v>
      </c>
    </row>
    <row r="86" spans="1:8" x14ac:dyDescent="0.25">
      <c r="A86">
        <v>252</v>
      </c>
      <c r="B86" s="1">
        <v>44810</v>
      </c>
      <c r="C86" s="27">
        <v>16161299</v>
      </c>
      <c r="D86" s="27" t="s">
        <v>14</v>
      </c>
      <c r="E86" s="27" t="s">
        <v>636</v>
      </c>
      <c r="F86" s="27"/>
      <c r="G86" s="27" t="s">
        <v>30</v>
      </c>
      <c r="H86" s="25">
        <v>44809.582546296297</v>
      </c>
    </row>
    <row r="87" spans="1:8" x14ac:dyDescent="0.25">
      <c r="A87">
        <v>253</v>
      </c>
      <c r="B87" s="1">
        <v>44810</v>
      </c>
      <c r="C87" s="27">
        <v>16161388</v>
      </c>
      <c r="D87" s="27" t="s">
        <v>12</v>
      </c>
      <c r="E87" s="27" t="s">
        <v>637</v>
      </c>
      <c r="F87" s="27"/>
      <c r="G87" s="27" t="s">
        <v>30</v>
      </c>
      <c r="H87" s="25">
        <v>44809.590925925928</v>
      </c>
    </row>
    <row r="88" spans="1:8" x14ac:dyDescent="0.25">
      <c r="A88">
        <v>250</v>
      </c>
      <c r="B88" s="1">
        <v>44810</v>
      </c>
      <c r="C88" s="27">
        <v>16154019</v>
      </c>
      <c r="D88" s="27" t="s">
        <v>7</v>
      </c>
      <c r="E88" s="27" t="s">
        <v>527</v>
      </c>
      <c r="F88" s="27"/>
      <c r="G88" s="27" t="s">
        <v>30</v>
      </c>
      <c r="H88" s="25">
        <v>44806.611296296294</v>
      </c>
    </row>
    <row r="89" spans="1:8" x14ac:dyDescent="0.25">
      <c r="A89">
        <v>251</v>
      </c>
      <c r="B89" s="1">
        <v>44810</v>
      </c>
      <c r="C89" s="27">
        <v>16154085</v>
      </c>
      <c r="D89" s="27" t="s">
        <v>7</v>
      </c>
      <c r="E89" s="27" t="s">
        <v>530</v>
      </c>
      <c r="F89" s="27"/>
      <c r="G89" s="27" t="s">
        <v>30</v>
      </c>
      <c r="H89" s="25">
        <v>44806.615497685183</v>
      </c>
    </row>
    <row r="90" spans="1:8" x14ac:dyDescent="0.25">
      <c r="A90">
        <v>228</v>
      </c>
      <c r="B90" s="1">
        <v>44810</v>
      </c>
      <c r="C90" s="27">
        <v>16161560</v>
      </c>
      <c r="D90" s="27" t="s">
        <v>11</v>
      </c>
      <c r="E90" s="27" t="s">
        <v>44</v>
      </c>
      <c r="F90" s="27"/>
      <c r="G90" s="27" t="s">
        <v>32</v>
      </c>
      <c r="H90" s="25">
        <v>44809.604108796295</v>
      </c>
    </row>
    <row r="91" spans="1:8" x14ac:dyDescent="0.25">
      <c r="A91">
        <v>229</v>
      </c>
      <c r="B91" s="1">
        <v>44810</v>
      </c>
      <c r="C91" s="27">
        <v>16161575</v>
      </c>
      <c r="D91" s="27" t="s">
        <v>11</v>
      </c>
      <c r="E91" s="27" t="s">
        <v>650</v>
      </c>
      <c r="F91" s="27"/>
      <c r="G91" s="27" t="s">
        <v>32</v>
      </c>
      <c r="H91" s="25">
        <v>44809.605023148149</v>
      </c>
    </row>
    <row r="92" spans="1:8" x14ac:dyDescent="0.25">
      <c r="A92">
        <v>226</v>
      </c>
      <c r="B92" s="1">
        <v>44810</v>
      </c>
      <c r="C92" s="27">
        <v>16161501</v>
      </c>
      <c r="D92" s="27" t="s">
        <v>12</v>
      </c>
      <c r="E92" s="27" t="s">
        <v>655</v>
      </c>
      <c r="F92" s="27"/>
      <c r="G92" s="27" t="s">
        <v>32</v>
      </c>
      <c r="H92" s="25">
        <v>44809.601666666669</v>
      </c>
    </row>
    <row r="93" spans="1:8" x14ac:dyDescent="0.25">
      <c r="A93">
        <v>227</v>
      </c>
      <c r="B93" s="1">
        <v>44810</v>
      </c>
      <c r="C93" s="27">
        <v>16161476</v>
      </c>
      <c r="D93" s="27" t="s">
        <v>12</v>
      </c>
      <c r="E93" s="27" t="s">
        <v>656</v>
      </c>
      <c r="F93" s="27"/>
      <c r="G93" s="27" t="s">
        <v>32</v>
      </c>
      <c r="H93" s="25">
        <v>44809.601990740739</v>
      </c>
    </row>
    <row r="94" spans="1:8" x14ac:dyDescent="0.25">
      <c r="A94">
        <v>244</v>
      </c>
      <c r="B94" s="1">
        <v>44810</v>
      </c>
      <c r="C94" s="27">
        <v>16154129</v>
      </c>
      <c r="D94" s="27" t="s">
        <v>7</v>
      </c>
      <c r="E94" s="27" t="s">
        <v>536</v>
      </c>
      <c r="F94" s="27"/>
      <c r="G94" s="27" t="s">
        <v>30</v>
      </c>
      <c r="H94" s="25">
        <v>44806.618020833332</v>
      </c>
    </row>
    <row r="95" spans="1:8" x14ac:dyDescent="0.25">
      <c r="A95">
        <v>245</v>
      </c>
      <c r="B95" s="1">
        <v>44810</v>
      </c>
      <c r="C95" s="27">
        <v>16154169</v>
      </c>
      <c r="D95" s="27" t="s">
        <v>12</v>
      </c>
      <c r="E95" s="27" t="s">
        <v>538</v>
      </c>
      <c r="F95" s="27"/>
      <c r="G95" s="27" t="s">
        <v>30</v>
      </c>
      <c r="H95" s="25">
        <v>44806.621168981481</v>
      </c>
    </row>
    <row r="96" spans="1:8" x14ac:dyDescent="0.25">
      <c r="A96">
        <v>230</v>
      </c>
      <c r="B96" s="1">
        <v>44810</v>
      </c>
      <c r="C96" s="27">
        <v>16161618</v>
      </c>
      <c r="D96" s="27" t="s">
        <v>11</v>
      </c>
      <c r="E96" s="27" t="s">
        <v>657</v>
      </c>
      <c r="F96" s="27"/>
      <c r="G96" s="27" t="s">
        <v>32</v>
      </c>
      <c r="H96" s="25">
        <v>44809.608171296299</v>
      </c>
    </row>
    <row r="97" spans="1:8" x14ac:dyDescent="0.25">
      <c r="A97">
        <v>243</v>
      </c>
      <c r="B97" s="1">
        <v>44810</v>
      </c>
      <c r="C97" s="27">
        <v>16154100</v>
      </c>
      <c r="D97" s="27" t="s">
        <v>7</v>
      </c>
      <c r="E97" s="27" t="s">
        <v>535</v>
      </c>
      <c r="F97" s="27"/>
      <c r="G97" s="27" t="s">
        <v>30</v>
      </c>
      <c r="H97" s="25">
        <v>44806.617430555554</v>
      </c>
    </row>
    <row r="98" spans="1:8" x14ac:dyDescent="0.25">
      <c r="A98">
        <v>257</v>
      </c>
      <c r="B98" s="1">
        <v>44810</v>
      </c>
      <c r="C98" s="27">
        <v>16161787</v>
      </c>
      <c r="D98" s="27" t="s">
        <v>14</v>
      </c>
      <c r="E98" s="27" t="s">
        <v>640</v>
      </c>
      <c r="F98" s="27"/>
      <c r="G98" s="27" t="s">
        <v>30</v>
      </c>
      <c r="H98" s="25">
        <v>44809.625208333331</v>
      </c>
    </row>
    <row r="99" spans="1:8" x14ac:dyDescent="0.25">
      <c r="A99">
        <v>256</v>
      </c>
      <c r="B99" s="1">
        <v>44810</v>
      </c>
      <c r="C99" s="27">
        <v>16161736</v>
      </c>
      <c r="D99" s="27" t="s">
        <v>14</v>
      </c>
      <c r="E99" s="27" t="s">
        <v>639</v>
      </c>
      <c r="F99" s="27"/>
      <c r="G99" s="27" t="s">
        <v>30</v>
      </c>
      <c r="H99" s="25">
        <v>44809.620219907411</v>
      </c>
    </row>
    <row r="100" spans="1:8" x14ac:dyDescent="0.25">
      <c r="A100">
        <v>254</v>
      </c>
      <c r="B100" s="1">
        <v>44810</v>
      </c>
      <c r="C100" s="27">
        <v>16161391</v>
      </c>
      <c r="D100" s="27" t="s">
        <v>12</v>
      </c>
      <c r="E100" s="27" t="s">
        <v>214</v>
      </c>
      <c r="F100" s="27" t="s">
        <v>10</v>
      </c>
      <c r="G100" s="27" t="s">
        <v>30</v>
      </c>
      <c r="H100" s="25">
        <v>44809.591273148151</v>
      </c>
    </row>
    <row r="101" spans="1:8" x14ac:dyDescent="0.25">
      <c r="A101">
        <v>255</v>
      </c>
      <c r="B101" s="1">
        <v>44810</v>
      </c>
      <c r="C101" s="27">
        <v>16161691</v>
      </c>
      <c r="D101" s="27" t="s">
        <v>14</v>
      </c>
      <c r="E101" s="27" t="s">
        <v>638</v>
      </c>
      <c r="F101" s="27"/>
      <c r="G101" s="27" t="s">
        <v>30</v>
      </c>
      <c r="H101" s="25">
        <v>44809.615057870367</v>
      </c>
    </row>
    <row r="102" spans="1:8" x14ac:dyDescent="0.25">
      <c r="A102">
        <v>181</v>
      </c>
      <c r="B102" s="1">
        <v>44809</v>
      </c>
      <c r="C102" s="27">
        <v>16154168</v>
      </c>
      <c r="D102" s="27" t="s">
        <v>11</v>
      </c>
      <c r="E102" s="27" t="s">
        <v>294</v>
      </c>
      <c r="F102" s="27" t="s">
        <v>10</v>
      </c>
      <c r="G102" s="27" t="s">
        <v>32</v>
      </c>
      <c r="H102" s="25">
        <v>44806.615972222222</v>
      </c>
    </row>
    <row r="103" spans="1:8" x14ac:dyDescent="0.25">
      <c r="A103">
        <v>182</v>
      </c>
      <c r="B103" s="1">
        <v>44809</v>
      </c>
      <c r="C103" s="27">
        <v>16153915</v>
      </c>
      <c r="D103" s="27" t="s">
        <v>7</v>
      </c>
      <c r="E103" s="27" t="s">
        <v>581</v>
      </c>
      <c r="F103" s="27" t="s">
        <v>10</v>
      </c>
      <c r="G103" s="27" t="s">
        <v>32</v>
      </c>
      <c r="H103" s="25">
        <v>44806.608229166668</v>
      </c>
    </row>
    <row r="104" spans="1:8" x14ac:dyDescent="0.25">
      <c r="A104">
        <v>184</v>
      </c>
      <c r="B104" s="1">
        <v>44809</v>
      </c>
      <c r="C104" s="27">
        <v>16152219</v>
      </c>
      <c r="D104" s="27" t="s">
        <v>7</v>
      </c>
      <c r="E104" s="27" t="s">
        <v>583</v>
      </c>
      <c r="F104" s="27" t="s">
        <v>10</v>
      </c>
      <c r="G104" s="27" t="s">
        <v>32</v>
      </c>
      <c r="H104" s="25">
        <v>44806.518993055557</v>
      </c>
    </row>
    <row r="105" spans="1:8" x14ac:dyDescent="0.25">
      <c r="A105">
        <v>103</v>
      </c>
      <c r="B105" s="1">
        <v>44809</v>
      </c>
      <c r="C105" s="27">
        <v>16161467</v>
      </c>
      <c r="D105" s="27" t="s">
        <v>15</v>
      </c>
      <c r="E105" s="27" t="s">
        <v>673</v>
      </c>
      <c r="F105" s="27"/>
      <c r="G105" s="27" t="s">
        <v>33</v>
      </c>
      <c r="H105" s="25">
        <v>44809.596863425926</v>
      </c>
    </row>
    <row r="106" spans="1:8" x14ac:dyDescent="0.25">
      <c r="A106">
        <v>104</v>
      </c>
      <c r="B106" s="1">
        <v>44809</v>
      </c>
      <c r="C106" s="27">
        <v>16161467</v>
      </c>
      <c r="D106" s="27" t="s">
        <v>15</v>
      </c>
      <c r="E106" s="27" t="s">
        <v>674</v>
      </c>
      <c r="F106" s="27"/>
      <c r="G106" s="27" t="s">
        <v>33</v>
      </c>
      <c r="H106" s="25">
        <v>44809.59888888889</v>
      </c>
    </row>
    <row r="107" spans="1:8" x14ac:dyDescent="0.25">
      <c r="A107">
        <v>180</v>
      </c>
      <c r="B107" s="1">
        <v>44809</v>
      </c>
      <c r="C107" s="27">
        <v>16154213</v>
      </c>
      <c r="D107" s="27" t="s">
        <v>7</v>
      </c>
      <c r="E107" s="27" t="s">
        <v>580</v>
      </c>
      <c r="F107" s="27"/>
      <c r="G107" s="27" t="s">
        <v>32</v>
      </c>
      <c r="H107" s="25">
        <v>44806.618923611109</v>
      </c>
    </row>
    <row r="108" spans="1:8" x14ac:dyDescent="0.25">
      <c r="A108">
        <v>173</v>
      </c>
      <c r="B108" s="1">
        <v>44809</v>
      </c>
      <c r="C108" s="27">
        <v>16159107</v>
      </c>
      <c r="D108" s="27" t="s">
        <v>15</v>
      </c>
      <c r="E108" s="27" t="s">
        <v>654</v>
      </c>
      <c r="F108" s="27" t="s">
        <v>10</v>
      </c>
      <c r="G108" s="27" t="s">
        <v>32</v>
      </c>
      <c r="H108" s="25">
        <v>44809.364884259259</v>
      </c>
    </row>
    <row r="109" spans="1:8" x14ac:dyDescent="0.25">
      <c r="A109">
        <v>174</v>
      </c>
      <c r="B109" s="1">
        <v>44809</v>
      </c>
      <c r="C109" s="27">
        <v>16154345</v>
      </c>
      <c r="D109" s="27" t="s">
        <v>7</v>
      </c>
      <c r="E109" s="27" t="s">
        <v>598</v>
      </c>
      <c r="F109" s="27"/>
      <c r="G109" s="27" t="s">
        <v>32</v>
      </c>
      <c r="H109" s="25">
        <v>44806.628333333334</v>
      </c>
    </row>
    <row r="110" spans="1:8" x14ac:dyDescent="0.25">
      <c r="A110">
        <v>172</v>
      </c>
      <c r="B110" s="1">
        <v>44809</v>
      </c>
      <c r="C110" s="27">
        <v>16159377</v>
      </c>
      <c r="D110" s="27" t="s">
        <v>12</v>
      </c>
      <c r="E110" s="27" t="s">
        <v>653</v>
      </c>
      <c r="F110" s="27" t="s">
        <v>10</v>
      </c>
      <c r="G110" s="27" t="s">
        <v>32</v>
      </c>
      <c r="H110" s="25">
        <v>44809.380752314813</v>
      </c>
    </row>
    <row r="111" spans="1:8" x14ac:dyDescent="0.25">
      <c r="A111">
        <v>170</v>
      </c>
      <c r="B111" s="1">
        <v>44809</v>
      </c>
      <c r="C111" s="27">
        <v>16161013</v>
      </c>
      <c r="D111" s="27" t="s">
        <v>11</v>
      </c>
      <c r="E111" s="27" t="s">
        <v>55</v>
      </c>
      <c r="F111" s="27" t="s">
        <v>17</v>
      </c>
      <c r="G111" s="27" t="s">
        <v>32</v>
      </c>
      <c r="H111" s="25">
        <v>44809.562638888892</v>
      </c>
    </row>
    <row r="112" spans="1:8" x14ac:dyDescent="0.25">
      <c r="A112">
        <v>171</v>
      </c>
      <c r="B112" s="1">
        <v>44809</v>
      </c>
      <c r="C112" s="27">
        <v>16161006</v>
      </c>
      <c r="D112" s="27" t="s">
        <v>11</v>
      </c>
      <c r="E112" s="27" t="s">
        <v>44</v>
      </c>
      <c r="F112" s="27" t="s">
        <v>17</v>
      </c>
      <c r="G112" s="27" t="s">
        <v>32</v>
      </c>
      <c r="H112" s="25">
        <v>44809.561793981484</v>
      </c>
    </row>
    <row r="113" spans="1:8" x14ac:dyDescent="0.25">
      <c r="A113">
        <v>178</v>
      </c>
      <c r="B113" s="1">
        <v>44809</v>
      </c>
      <c r="C113" s="27">
        <v>16154292</v>
      </c>
      <c r="D113" s="27" t="s">
        <v>11</v>
      </c>
      <c r="E113" s="27" t="s">
        <v>578</v>
      </c>
      <c r="F113" s="27" t="s">
        <v>10</v>
      </c>
      <c r="G113" s="27" t="s">
        <v>32</v>
      </c>
      <c r="H113" s="25">
        <v>44806.621145833335</v>
      </c>
    </row>
    <row r="114" spans="1:8" x14ac:dyDescent="0.25">
      <c r="A114">
        <v>179</v>
      </c>
      <c r="B114" s="1">
        <v>44809</v>
      </c>
      <c r="C114" s="27">
        <v>16154268</v>
      </c>
      <c r="D114" s="27" t="s">
        <v>11</v>
      </c>
      <c r="E114" s="27" t="s">
        <v>579</v>
      </c>
      <c r="F114" s="27" t="s">
        <v>10</v>
      </c>
      <c r="G114" s="27" t="s">
        <v>32</v>
      </c>
      <c r="H114" s="25">
        <v>44806.62</v>
      </c>
    </row>
    <row r="115" spans="1:8" x14ac:dyDescent="0.25">
      <c r="A115">
        <v>177</v>
      </c>
      <c r="B115" s="1">
        <v>44809</v>
      </c>
      <c r="C115" s="27">
        <v>16154317</v>
      </c>
      <c r="D115" s="27" t="s">
        <v>11</v>
      </c>
      <c r="E115" s="27" t="s">
        <v>577</v>
      </c>
      <c r="F115" s="27" t="s">
        <v>10</v>
      </c>
      <c r="G115" s="27" t="s">
        <v>32</v>
      </c>
      <c r="H115" s="25">
        <v>44806.623055555552</v>
      </c>
    </row>
    <row r="116" spans="1:8" x14ac:dyDescent="0.25">
      <c r="A116">
        <v>175</v>
      </c>
      <c r="B116" s="1">
        <v>44809</v>
      </c>
      <c r="C116" s="27">
        <v>16154310</v>
      </c>
      <c r="D116" s="27" t="s">
        <v>7</v>
      </c>
      <c r="E116" s="27" t="s">
        <v>599</v>
      </c>
      <c r="F116" s="27" t="s">
        <v>10</v>
      </c>
      <c r="G116" s="27" t="s">
        <v>32</v>
      </c>
      <c r="H116" s="25">
        <v>44806.62777777778</v>
      </c>
    </row>
    <row r="117" spans="1:8" x14ac:dyDescent="0.25">
      <c r="A117">
        <v>176</v>
      </c>
      <c r="B117" s="1">
        <v>44809</v>
      </c>
      <c r="C117" s="27">
        <v>16154369</v>
      </c>
      <c r="D117" s="27" t="s">
        <v>11</v>
      </c>
      <c r="E117" s="27" t="s">
        <v>576</v>
      </c>
      <c r="F117" s="27" t="s">
        <v>10</v>
      </c>
      <c r="G117" s="27" t="s">
        <v>32</v>
      </c>
      <c r="H117" s="25">
        <v>44806.625497685185</v>
      </c>
    </row>
    <row r="118" spans="1:8" x14ac:dyDescent="0.25">
      <c r="A118">
        <v>261</v>
      </c>
      <c r="B118" s="1">
        <v>44809</v>
      </c>
      <c r="C118" s="27">
        <v>16152241</v>
      </c>
      <c r="D118" s="27" t="s">
        <v>7</v>
      </c>
      <c r="E118" s="27" t="s">
        <v>509</v>
      </c>
      <c r="F118" s="27" t="s">
        <v>10</v>
      </c>
      <c r="G118" s="27" t="s">
        <v>30</v>
      </c>
      <c r="H118" s="25">
        <v>44806.520335648151</v>
      </c>
    </row>
    <row r="119" spans="1:8" x14ac:dyDescent="0.25">
      <c r="A119">
        <v>260</v>
      </c>
      <c r="B119" s="1">
        <v>44809</v>
      </c>
      <c r="C119" s="27">
        <v>16151445</v>
      </c>
      <c r="D119" s="27" t="s">
        <v>9</v>
      </c>
      <c r="E119" s="27" t="s">
        <v>288</v>
      </c>
      <c r="F119" s="27" t="s">
        <v>10</v>
      </c>
      <c r="G119" s="27" t="s">
        <v>30</v>
      </c>
      <c r="H119" s="25">
        <v>44806.389247685183</v>
      </c>
    </row>
    <row r="120" spans="1:8" x14ac:dyDescent="0.25">
      <c r="A120">
        <v>102</v>
      </c>
      <c r="B120" s="1">
        <v>44809</v>
      </c>
      <c r="C120" s="27">
        <v>16161373</v>
      </c>
      <c r="D120" s="27" t="s">
        <v>15</v>
      </c>
      <c r="E120" s="27" t="s">
        <v>672</v>
      </c>
      <c r="F120" s="27"/>
      <c r="G120" s="27" t="s">
        <v>33</v>
      </c>
      <c r="H120" s="25">
        <v>44809.589016203703</v>
      </c>
    </row>
    <row r="121" spans="1:8" x14ac:dyDescent="0.25">
      <c r="A121">
        <v>263</v>
      </c>
      <c r="B121" s="1">
        <v>44809</v>
      </c>
      <c r="C121" s="27">
        <v>16153878</v>
      </c>
      <c r="D121" s="27" t="s">
        <v>15</v>
      </c>
      <c r="E121" s="27" t="s">
        <v>514</v>
      </c>
      <c r="F121" s="27" t="s">
        <v>10</v>
      </c>
      <c r="G121" s="27" t="s">
        <v>30</v>
      </c>
      <c r="H121" s="25">
        <v>44806.602222222224</v>
      </c>
    </row>
    <row r="122" spans="1:8" x14ac:dyDescent="0.25">
      <c r="A122">
        <v>262</v>
      </c>
      <c r="B122" s="1">
        <v>44809</v>
      </c>
      <c r="C122" s="27">
        <v>16153126</v>
      </c>
      <c r="D122" s="27" t="s">
        <v>7</v>
      </c>
      <c r="E122" s="27" t="s">
        <v>510</v>
      </c>
      <c r="F122" s="27" t="s">
        <v>28</v>
      </c>
      <c r="G122" s="27" t="s">
        <v>30</v>
      </c>
      <c r="H122" s="25">
        <v>44806.579629629632</v>
      </c>
    </row>
    <row r="123" spans="1:8" x14ac:dyDescent="0.25">
      <c r="A123">
        <v>167</v>
      </c>
      <c r="B123" s="1">
        <v>44809</v>
      </c>
      <c r="C123" s="27">
        <v>16161237</v>
      </c>
      <c r="D123" s="27" t="s">
        <v>11</v>
      </c>
      <c r="E123" s="27" t="s">
        <v>650</v>
      </c>
      <c r="F123" s="27" t="s">
        <v>17</v>
      </c>
      <c r="G123" s="27" t="s">
        <v>32</v>
      </c>
      <c r="H123" s="25">
        <v>44809.576701388891</v>
      </c>
    </row>
    <row r="124" spans="1:8" x14ac:dyDescent="0.25">
      <c r="A124">
        <v>165</v>
      </c>
      <c r="B124" s="1">
        <v>44809</v>
      </c>
      <c r="C124" s="27">
        <v>16162054</v>
      </c>
      <c r="D124" s="27" t="s">
        <v>7</v>
      </c>
      <c r="E124" s="27" t="s">
        <v>675</v>
      </c>
      <c r="F124" s="27"/>
      <c r="G124" s="27" t="s">
        <v>33</v>
      </c>
      <c r="H124" s="25">
        <v>44809.646990740737</v>
      </c>
    </row>
    <row r="125" spans="1:8" x14ac:dyDescent="0.25">
      <c r="A125">
        <v>712</v>
      </c>
      <c r="B125" s="1">
        <v>44809</v>
      </c>
      <c r="C125" s="27">
        <v>16151399</v>
      </c>
      <c r="D125" s="27" t="s">
        <v>22</v>
      </c>
      <c r="E125" s="27" t="s">
        <v>121</v>
      </c>
      <c r="F125" s="27" t="s">
        <v>10</v>
      </c>
      <c r="G125" s="27" t="s">
        <v>20</v>
      </c>
      <c r="H125" s="25">
        <v>44806.393055555556</v>
      </c>
    </row>
    <row r="126" spans="1:8" x14ac:dyDescent="0.25">
      <c r="A126">
        <v>259</v>
      </c>
      <c r="B126" s="1">
        <v>44809</v>
      </c>
      <c r="C126" s="27">
        <v>16153606</v>
      </c>
      <c r="D126" s="27" t="s">
        <v>12</v>
      </c>
      <c r="E126" s="27" t="s">
        <v>508</v>
      </c>
      <c r="F126" s="27" t="s">
        <v>18</v>
      </c>
      <c r="G126" s="27" t="s">
        <v>30</v>
      </c>
      <c r="H126" s="25">
        <v>44806.599282407406</v>
      </c>
    </row>
    <row r="127" spans="1:8" x14ac:dyDescent="0.25">
      <c r="A127">
        <v>713</v>
      </c>
      <c r="B127" s="1">
        <v>44809</v>
      </c>
      <c r="C127" s="27">
        <v>16151434</v>
      </c>
      <c r="D127" s="27" t="s">
        <v>22</v>
      </c>
      <c r="E127" s="27" t="s">
        <v>488</v>
      </c>
      <c r="F127" s="27" t="s">
        <v>17</v>
      </c>
      <c r="G127" s="27" t="s">
        <v>20</v>
      </c>
      <c r="H127" s="25">
        <v>44806.393576388888</v>
      </c>
    </row>
    <row r="128" spans="1:8" x14ac:dyDescent="0.25">
      <c r="A128">
        <v>264</v>
      </c>
      <c r="B128" s="1">
        <v>44809</v>
      </c>
      <c r="C128" s="27">
        <v>16153456</v>
      </c>
      <c r="D128" s="27" t="s">
        <v>12</v>
      </c>
      <c r="E128" s="27" t="s">
        <v>511</v>
      </c>
      <c r="F128" s="27" t="s">
        <v>17</v>
      </c>
      <c r="G128" s="27" t="s">
        <v>30</v>
      </c>
      <c r="H128" s="25">
        <v>44806.594375000001</v>
      </c>
    </row>
    <row r="129" spans="1:8" x14ac:dyDescent="0.25">
      <c r="A129">
        <v>271</v>
      </c>
      <c r="B129" s="1">
        <v>44809</v>
      </c>
      <c r="C129" s="27">
        <v>16161367</v>
      </c>
      <c r="D129" s="27" t="s">
        <v>11</v>
      </c>
      <c r="E129" s="27" t="s">
        <v>644</v>
      </c>
      <c r="F129" s="27"/>
      <c r="G129" s="27" t="s">
        <v>30</v>
      </c>
      <c r="H129" s="25">
        <v>44809.587777777779</v>
      </c>
    </row>
    <row r="130" spans="1:8" x14ac:dyDescent="0.25">
      <c r="A130">
        <v>270</v>
      </c>
      <c r="B130" s="1">
        <v>44809</v>
      </c>
      <c r="C130" s="27">
        <v>16161321</v>
      </c>
      <c r="D130" s="27" t="s">
        <v>11</v>
      </c>
      <c r="E130" s="27" t="s">
        <v>643</v>
      </c>
      <c r="F130" s="27"/>
      <c r="G130" s="27" t="s">
        <v>30</v>
      </c>
      <c r="H130" s="25">
        <v>44809.584317129629</v>
      </c>
    </row>
    <row r="131" spans="1:8" x14ac:dyDescent="0.25">
      <c r="A131">
        <v>272</v>
      </c>
      <c r="B131" s="1">
        <v>44809</v>
      </c>
      <c r="C131" s="27">
        <v>16161410</v>
      </c>
      <c r="D131" s="27" t="s">
        <v>15</v>
      </c>
      <c r="E131" s="27" t="s">
        <v>645</v>
      </c>
      <c r="F131" s="27"/>
      <c r="G131" s="27" t="s">
        <v>30</v>
      </c>
      <c r="H131" s="25">
        <v>44809.591956018521</v>
      </c>
    </row>
    <row r="132" spans="1:8" x14ac:dyDescent="0.25">
      <c r="A132">
        <v>274</v>
      </c>
      <c r="B132" s="1">
        <v>44809</v>
      </c>
      <c r="C132" s="27">
        <v>16161544</v>
      </c>
      <c r="D132" s="27" t="s">
        <v>15</v>
      </c>
      <c r="E132" s="27" t="s">
        <v>647</v>
      </c>
      <c r="F132" s="27"/>
      <c r="G132" s="27" t="s">
        <v>30</v>
      </c>
      <c r="H132" s="25">
        <v>44809.603182870371</v>
      </c>
    </row>
    <row r="133" spans="1:8" x14ac:dyDescent="0.25">
      <c r="A133">
        <v>273</v>
      </c>
      <c r="B133" s="1">
        <v>44809</v>
      </c>
      <c r="C133" s="27">
        <v>16161422</v>
      </c>
      <c r="D133" s="27" t="s">
        <v>14</v>
      </c>
      <c r="E133" s="27" t="s">
        <v>646</v>
      </c>
      <c r="F133" s="27"/>
      <c r="G133" s="27" t="s">
        <v>30</v>
      </c>
      <c r="H133" s="25">
        <v>44809.593946759262</v>
      </c>
    </row>
    <row r="134" spans="1:8" x14ac:dyDescent="0.25">
      <c r="A134">
        <v>266</v>
      </c>
      <c r="B134" s="1">
        <v>44809</v>
      </c>
      <c r="C134" s="27">
        <v>16153577</v>
      </c>
      <c r="D134" s="27" t="s">
        <v>12</v>
      </c>
      <c r="E134" s="27" t="s">
        <v>214</v>
      </c>
      <c r="F134" s="27" t="s">
        <v>10</v>
      </c>
      <c r="G134" s="27" t="s">
        <v>30</v>
      </c>
      <c r="H134" s="25">
        <v>44806.597210648149</v>
      </c>
    </row>
    <row r="135" spans="1:8" x14ac:dyDescent="0.25">
      <c r="A135">
        <v>265</v>
      </c>
      <c r="B135" s="1">
        <v>44809</v>
      </c>
      <c r="C135" s="27">
        <v>16153508</v>
      </c>
      <c r="D135" s="27" t="s">
        <v>12</v>
      </c>
      <c r="E135" s="27" t="s">
        <v>512</v>
      </c>
      <c r="F135" s="27" t="s">
        <v>10</v>
      </c>
      <c r="G135" s="27" t="s">
        <v>30</v>
      </c>
      <c r="H135" s="25">
        <v>44806.595381944448</v>
      </c>
    </row>
    <row r="136" spans="1:8" x14ac:dyDescent="0.25">
      <c r="A136">
        <v>267</v>
      </c>
      <c r="B136" s="1">
        <v>44809</v>
      </c>
      <c r="C136" s="27">
        <v>16153651</v>
      </c>
      <c r="D136" s="27" t="s">
        <v>12</v>
      </c>
      <c r="E136" s="27" t="s">
        <v>513</v>
      </c>
      <c r="F136" s="27" t="s">
        <v>17</v>
      </c>
      <c r="G136" s="27" t="s">
        <v>30</v>
      </c>
      <c r="H136" s="25">
        <v>44806.599560185183</v>
      </c>
    </row>
    <row r="137" spans="1:8" x14ac:dyDescent="0.25">
      <c r="A137">
        <v>269</v>
      </c>
      <c r="B137" s="1">
        <v>44809</v>
      </c>
      <c r="C137" s="27">
        <v>16158168</v>
      </c>
      <c r="D137" s="27" t="s">
        <v>14</v>
      </c>
      <c r="E137" s="27" t="s">
        <v>642</v>
      </c>
      <c r="F137" s="27"/>
      <c r="G137" s="27" t="s">
        <v>30</v>
      </c>
      <c r="H137" s="25">
        <v>44809.151886574073</v>
      </c>
    </row>
    <row r="138" spans="1:8" x14ac:dyDescent="0.25">
      <c r="A138">
        <v>268</v>
      </c>
      <c r="B138" s="1">
        <v>44809</v>
      </c>
      <c r="C138" s="27">
        <v>16153984</v>
      </c>
      <c r="D138" s="27" t="s">
        <v>15</v>
      </c>
      <c r="E138" s="27" t="s">
        <v>525</v>
      </c>
      <c r="F138" s="27" t="s">
        <v>10</v>
      </c>
      <c r="G138" s="27" t="s">
        <v>30</v>
      </c>
      <c r="H138" s="25">
        <v>44806.607673611114</v>
      </c>
    </row>
    <row r="139" spans="1:8" x14ac:dyDescent="0.25">
      <c r="A139">
        <v>508</v>
      </c>
      <c r="B139" s="1">
        <v>44809</v>
      </c>
      <c r="C139" s="27">
        <v>16154092</v>
      </c>
      <c r="D139" s="27" t="s">
        <v>14</v>
      </c>
      <c r="E139" s="27" t="s">
        <v>565</v>
      </c>
      <c r="F139" s="27" t="s">
        <v>17</v>
      </c>
      <c r="G139" s="27" t="s">
        <v>29</v>
      </c>
      <c r="H139" s="25">
        <v>44806.626180555555</v>
      </c>
    </row>
    <row r="140" spans="1:8" x14ac:dyDescent="0.25">
      <c r="A140">
        <v>507</v>
      </c>
      <c r="B140" s="1">
        <v>44809</v>
      </c>
      <c r="C140" s="27">
        <v>16154022</v>
      </c>
      <c r="D140" s="27" t="s">
        <v>11</v>
      </c>
      <c r="E140" s="27" t="s">
        <v>567</v>
      </c>
      <c r="F140" s="27" t="s">
        <v>24</v>
      </c>
      <c r="G140" s="27" t="s">
        <v>29</v>
      </c>
      <c r="H140" s="25">
        <v>44806.609884259262</v>
      </c>
    </row>
    <row r="141" spans="1:8" x14ac:dyDescent="0.25">
      <c r="A141">
        <v>509</v>
      </c>
      <c r="B141" s="1">
        <v>44809</v>
      </c>
      <c r="C141" s="27">
        <v>16153846</v>
      </c>
      <c r="D141" s="27" t="s">
        <v>14</v>
      </c>
      <c r="E141" s="27" t="s">
        <v>410</v>
      </c>
      <c r="F141" s="27" t="s">
        <v>24</v>
      </c>
      <c r="G141" s="27" t="s">
        <v>29</v>
      </c>
      <c r="H141" s="25">
        <v>44806.604583333334</v>
      </c>
    </row>
    <row r="142" spans="1:8" x14ac:dyDescent="0.25">
      <c r="A142">
        <v>511</v>
      </c>
      <c r="B142" s="1">
        <v>44809</v>
      </c>
      <c r="C142" s="27">
        <v>16143814</v>
      </c>
      <c r="D142" s="27" t="s">
        <v>14</v>
      </c>
      <c r="E142" s="27" t="s">
        <v>447</v>
      </c>
      <c r="F142" s="27" t="s">
        <v>10</v>
      </c>
      <c r="G142" s="27" t="s">
        <v>29</v>
      </c>
      <c r="H142" s="25">
        <v>44806.605416666665</v>
      </c>
    </row>
    <row r="143" spans="1:8" x14ac:dyDescent="0.25">
      <c r="A143">
        <v>510</v>
      </c>
      <c r="B143" s="1">
        <v>44809</v>
      </c>
      <c r="C143" s="27">
        <v>16153864</v>
      </c>
      <c r="D143" s="27" t="s">
        <v>14</v>
      </c>
      <c r="E143" s="27" t="s">
        <v>416</v>
      </c>
      <c r="F143" s="27" t="s">
        <v>17</v>
      </c>
      <c r="G143" s="27" t="s">
        <v>29</v>
      </c>
      <c r="H143" s="25">
        <v>44806.605000000003</v>
      </c>
    </row>
    <row r="144" spans="1:8" x14ac:dyDescent="0.25">
      <c r="A144">
        <v>506</v>
      </c>
      <c r="B144" s="1">
        <v>44809</v>
      </c>
      <c r="C144" s="27">
        <v>16153899</v>
      </c>
      <c r="D144" s="27" t="s">
        <v>566</v>
      </c>
      <c r="E144" s="27" t="s">
        <v>446</v>
      </c>
      <c r="F144" s="27"/>
      <c r="G144" s="27" t="s">
        <v>29</v>
      </c>
      <c r="H144" s="25">
        <v>44806.606053240743</v>
      </c>
    </row>
    <row r="145" spans="1:8" x14ac:dyDescent="0.25">
      <c r="A145">
        <v>98</v>
      </c>
      <c r="B145" s="1">
        <v>44809</v>
      </c>
      <c r="C145" s="27">
        <v>16159865</v>
      </c>
      <c r="D145" s="27" t="s">
        <v>14</v>
      </c>
      <c r="E145" s="27" t="s">
        <v>668</v>
      </c>
      <c r="F145" s="27"/>
      <c r="G145" s="27" t="s">
        <v>33</v>
      </c>
      <c r="H145" s="25">
        <v>44809.418032407404</v>
      </c>
    </row>
    <row r="146" spans="1:8" x14ac:dyDescent="0.25">
      <c r="A146">
        <v>97</v>
      </c>
      <c r="B146" s="1">
        <v>44809</v>
      </c>
      <c r="C146" s="27">
        <v>16159839</v>
      </c>
      <c r="D146" s="27" t="s">
        <v>14</v>
      </c>
      <c r="E146" s="27" t="s">
        <v>667</v>
      </c>
      <c r="F146" s="27"/>
      <c r="G146" s="27" t="s">
        <v>33</v>
      </c>
      <c r="H146" s="25">
        <v>44809.415509259263</v>
      </c>
    </row>
    <row r="147" spans="1:8" x14ac:dyDescent="0.25">
      <c r="A147">
        <v>99</v>
      </c>
      <c r="B147" s="1">
        <v>44809</v>
      </c>
      <c r="C147" s="27">
        <v>16160585</v>
      </c>
      <c r="D147" s="27" t="s">
        <v>14</v>
      </c>
      <c r="E147" s="27" t="s">
        <v>669</v>
      </c>
      <c r="F147" s="27"/>
      <c r="G147" s="27" t="s">
        <v>33</v>
      </c>
      <c r="H147" s="25">
        <v>44809.506712962961</v>
      </c>
    </row>
    <row r="148" spans="1:8" x14ac:dyDescent="0.25">
      <c r="A148">
        <v>101</v>
      </c>
      <c r="B148" s="1">
        <v>44809</v>
      </c>
      <c r="C148" s="27">
        <v>16161346</v>
      </c>
      <c r="D148" s="27" t="s">
        <v>15</v>
      </c>
      <c r="E148" s="27" t="s">
        <v>671</v>
      </c>
      <c r="F148" s="27"/>
      <c r="G148" s="27" t="s">
        <v>33</v>
      </c>
      <c r="H148" s="25">
        <v>44809.586296296293</v>
      </c>
    </row>
    <row r="149" spans="1:8" x14ac:dyDescent="0.25">
      <c r="A149">
        <v>100</v>
      </c>
      <c r="B149" s="1">
        <v>44809</v>
      </c>
      <c r="C149" s="27">
        <v>16160589</v>
      </c>
      <c r="D149" s="27" t="s">
        <v>14</v>
      </c>
      <c r="E149" s="27" t="s">
        <v>670</v>
      </c>
      <c r="F149" s="27"/>
      <c r="G149" s="27" t="s">
        <v>33</v>
      </c>
      <c r="H149" s="25">
        <v>44809.508680555555</v>
      </c>
    </row>
    <row r="150" spans="1:8" x14ac:dyDescent="0.25">
      <c r="A150">
        <v>519</v>
      </c>
      <c r="B150" s="1">
        <v>44809</v>
      </c>
      <c r="C150" s="27">
        <v>16153779</v>
      </c>
      <c r="D150" s="27" t="s">
        <v>11</v>
      </c>
      <c r="E150" s="27" t="s">
        <v>562</v>
      </c>
      <c r="F150" s="27" t="s">
        <v>17</v>
      </c>
      <c r="G150" s="27" t="s">
        <v>29</v>
      </c>
      <c r="H150" s="25">
        <v>44806.597118055557</v>
      </c>
    </row>
    <row r="151" spans="1:8" x14ac:dyDescent="0.25">
      <c r="A151">
        <v>518</v>
      </c>
      <c r="B151" s="1">
        <v>44809</v>
      </c>
      <c r="C151" s="27">
        <v>16158878</v>
      </c>
      <c r="D151" s="27" t="s">
        <v>15</v>
      </c>
      <c r="E151" s="27" t="s">
        <v>682</v>
      </c>
      <c r="F151" s="27" t="s">
        <v>10</v>
      </c>
      <c r="G151" s="27" t="s">
        <v>29</v>
      </c>
      <c r="H151" s="25">
        <v>44809.366898148146</v>
      </c>
    </row>
    <row r="152" spans="1:8" x14ac:dyDescent="0.25">
      <c r="A152">
        <v>520</v>
      </c>
      <c r="B152" s="1">
        <v>44809</v>
      </c>
      <c r="C152" s="27">
        <v>16152202</v>
      </c>
      <c r="D152" s="27" t="s">
        <v>7</v>
      </c>
      <c r="E152" s="27" t="s">
        <v>570</v>
      </c>
      <c r="F152" s="27"/>
      <c r="G152" s="27" t="s">
        <v>29</v>
      </c>
      <c r="H152" s="25">
        <v>44806.518576388888</v>
      </c>
    </row>
    <row r="153" spans="1:8" x14ac:dyDescent="0.25">
      <c r="A153">
        <v>522</v>
      </c>
      <c r="B153" s="1">
        <v>44809</v>
      </c>
      <c r="C153" s="27">
        <v>16153254</v>
      </c>
      <c r="D153" s="27" t="s">
        <v>7</v>
      </c>
      <c r="E153" s="27" t="s">
        <v>569</v>
      </c>
      <c r="F153" s="27" t="s">
        <v>24</v>
      </c>
      <c r="G153" s="27" t="s">
        <v>29</v>
      </c>
      <c r="H153" s="25">
        <v>44806.567719907405</v>
      </c>
    </row>
    <row r="154" spans="1:8" x14ac:dyDescent="0.25">
      <c r="A154">
        <v>521</v>
      </c>
      <c r="B154" s="1">
        <v>44809</v>
      </c>
      <c r="C154" s="27">
        <v>16152855</v>
      </c>
      <c r="D154" s="27" t="s">
        <v>15</v>
      </c>
      <c r="E154" s="27" t="s">
        <v>568</v>
      </c>
      <c r="F154" s="27" t="s">
        <v>17</v>
      </c>
      <c r="G154" s="27" t="s">
        <v>29</v>
      </c>
      <c r="H154" s="25">
        <v>44806.536550925928</v>
      </c>
    </row>
    <row r="155" spans="1:8" x14ac:dyDescent="0.25">
      <c r="A155">
        <v>517</v>
      </c>
      <c r="B155" s="1">
        <v>44809</v>
      </c>
      <c r="C155" s="27">
        <v>16158778</v>
      </c>
      <c r="D155" s="27" t="s">
        <v>12</v>
      </c>
      <c r="E155" s="27" t="s">
        <v>681</v>
      </c>
      <c r="F155" s="27" t="s">
        <v>17</v>
      </c>
      <c r="G155" s="27" t="s">
        <v>29</v>
      </c>
      <c r="H155" s="25">
        <v>44809.346574074072</v>
      </c>
    </row>
    <row r="156" spans="1:8" x14ac:dyDescent="0.25">
      <c r="A156">
        <v>513</v>
      </c>
      <c r="B156" s="1">
        <v>44809</v>
      </c>
      <c r="C156" s="27">
        <v>16159309</v>
      </c>
      <c r="D156" s="27" t="s">
        <v>15</v>
      </c>
      <c r="E156" s="27" t="s">
        <v>678</v>
      </c>
      <c r="F156" s="27" t="s">
        <v>17</v>
      </c>
      <c r="G156" s="27" t="s">
        <v>29</v>
      </c>
      <c r="H156" s="25">
        <v>44809.377222222225</v>
      </c>
    </row>
    <row r="157" spans="1:8" x14ac:dyDescent="0.25">
      <c r="A157">
        <v>512</v>
      </c>
      <c r="B157" s="1">
        <v>44809</v>
      </c>
      <c r="C157" s="27">
        <v>16154155</v>
      </c>
      <c r="D157" s="27" t="s">
        <v>11</v>
      </c>
      <c r="E157" s="27" t="s">
        <v>563</v>
      </c>
      <c r="F157" s="27" t="s">
        <v>24</v>
      </c>
      <c r="G157" s="27" t="s">
        <v>29</v>
      </c>
      <c r="H157" s="25">
        <v>44806.626747685186</v>
      </c>
    </row>
    <row r="158" spans="1:8" x14ac:dyDescent="0.25">
      <c r="A158">
        <v>514</v>
      </c>
      <c r="B158" s="1">
        <v>44809</v>
      </c>
      <c r="C158" s="27">
        <v>16160276</v>
      </c>
      <c r="D158" s="27" t="s">
        <v>11</v>
      </c>
      <c r="E158" s="27" t="s">
        <v>679</v>
      </c>
      <c r="F158" s="27" t="s">
        <v>17</v>
      </c>
      <c r="G158" s="27" t="s">
        <v>29</v>
      </c>
      <c r="H158" s="25">
        <v>44809.459282407406</v>
      </c>
    </row>
    <row r="159" spans="1:8" x14ac:dyDescent="0.25">
      <c r="A159">
        <v>516</v>
      </c>
      <c r="B159" s="1">
        <v>44809</v>
      </c>
      <c r="C159" s="27">
        <v>16153646</v>
      </c>
      <c r="D159" s="27" t="s">
        <v>11</v>
      </c>
      <c r="E159" s="27" t="s">
        <v>609</v>
      </c>
      <c r="F159" s="27" t="s">
        <v>10</v>
      </c>
      <c r="G159" s="27" t="s">
        <v>29</v>
      </c>
      <c r="H159" s="25">
        <v>44806.646192129629</v>
      </c>
    </row>
    <row r="160" spans="1:8" x14ac:dyDescent="0.25">
      <c r="A160">
        <v>515</v>
      </c>
      <c r="B160" s="1">
        <v>44809</v>
      </c>
      <c r="C160" s="27">
        <v>16161141</v>
      </c>
      <c r="D160" s="27" t="s">
        <v>11</v>
      </c>
      <c r="E160" s="27" t="s">
        <v>680</v>
      </c>
      <c r="F160" s="27" t="s">
        <v>24</v>
      </c>
      <c r="G160" s="27" t="s">
        <v>29</v>
      </c>
      <c r="H160" s="25">
        <v>44809.571481481478</v>
      </c>
    </row>
    <row r="161" spans="1:8" x14ac:dyDescent="0.25">
      <c r="A161">
        <v>96</v>
      </c>
      <c r="B161" s="1">
        <v>44809</v>
      </c>
      <c r="C161" s="27">
        <v>16159799</v>
      </c>
      <c r="D161" s="27" t="s">
        <v>14</v>
      </c>
      <c r="E161" s="27" t="s">
        <v>666</v>
      </c>
      <c r="F161" s="27"/>
      <c r="G161" s="27" t="s">
        <v>33</v>
      </c>
      <c r="H161" s="25">
        <v>44809.411793981482</v>
      </c>
    </row>
    <row r="162" spans="1:8" x14ac:dyDescent="0.25">
      <c r="A162">
        <v>58</v>
      </c>
      <c r="B162" s="1">
        <v>44809</v>
      </c>
      <c r="C162" s="27">
        <v>16154405</v>
      </c>
      <c r="D162" s="27" t="s">
        <v>11</v>
      </c>
      <c r="E162" s="27" t="s">
        <v>597</v>
      </c>
      <c r="F162" s="27" t="s">
        <v>10</v>
      </c>
      <c r="G162" s="27" t="s">
        <v>8</v>
      </c>
      <c r="H162" s="25">
        <v>44806.627453703702</v>
      </c>
    </row>
    <row r="163" spans="1:8" x14ac:dyDescent="0.25">
      <c r="A163">
        <v>59</v>
      </c>
      <c r="B163" s="1">
        <v>44809</v>
      </c>
      <c r="C163" s="27">
        <v>16154433</v>
      </c>
      <c r="D163" s="27" t="s">
        <v>11</v>
      </c>
      <c r="E163" s="27" t="s">
        <v>612</v>
      </c>
      <c r="F163" s="27" t="s">
        <v>10</v>
      </c>
      <c r="G163" s="27" t="s">
        <v>8</v>
      </c>
      <c r="H163" s="25">
        <v>44806.629340277781</v>
      </c>
    </row>
    <row r="164" spans="1:8" x14ac:dyDescent="0.25">
      <c r="A164">
        <v>749</v>
      </c>
      <c r="B164" s="1">
        <v>44809</v>
      </c>
      <c r="C164" s="27">
        <v>16161305</v>
      </c>
      <c r="D164" s="27" t="s">
        <v>19</v>
      </c>
      <c r="E164" s="27" t="s">
        <v>625</v>
      </c>
      <c r="F164" s="27" t="s">
        <v>10</v>
      </c>
      <c r="G164" s="27" t="s">
        <v>20</v>
      </c>
      <c r="H164" s="25">
        <v>44809.583912037036</v>
      </c>
    </row>
    <row r="165" spans="1:8" x14ac:dyDescent="0.25">
      <c r="A165">
        <v>84</v>
      </c>
      <c r="B165" s="1">
        <v>44809</v>
      </c>
      <c r="C165" s="27">
        <v>16152877</v>
      </c>
      <c r="D165" s="27" t="s">
        <v>15</v>
      </c>
      <c r="E165" s="27" t="s">
        <v>544</v>
      </c>
      <c r="F165" s="27" t="s">
        <v>10</v>
      </c>
      <c r="G165" s="27" t="s">
        <v>33</v>
      </c>
      <c r="H165" s="25">
        <v>44806.53806712963</v>
      </c>
    </row>
    <row r="166" spans="1:8" x14ac:dyDescent="0.25">
      <c r="A166">
        <v>742</v>
      </c>
      <c r="B166" s="1">
        <v>44809</v>
      </c>
      <c r="C166" s="27">
        <v>16159447</v>
      </c>
      <c r="D166" s="27" t="s">
        <v>23</v>
      </c>
      <c r="E166" s="27" t="s">
        <v>619</v>
      </c>
      <c r="F166" s="27" t="s">
        <v>10</v>
      </c>
      <c r="G166" s="27" t="s">
        <v>20</v>
      </c>
      <c r="H166" s="25">
        <v>44809.385185185187</v>
      </c>
    </row>
    <row r="167" spans="1:8" x14ac:dyDescent="0.25">
      <c r="A167">
        <v>60</v>
      </c>
      <c r="B167" s="1">
        <v>44809</v>
      </c>
      <c r="C167" s="27">
        <v>16154479</v>
      </c>
      <c r="D167" s="27" t="s">
        <v>11</v>
      </c>
      <c r="E167" s="27" t="s">
        <v>613</v>
      </c>
      <c r="F167" s="27" t="s">
        <v>10</v>
      </c>
      <c r="G167" s="27" t="s">
        <v>8</v>
      </c>
      <c r="H167" s="25">
        <v>44806.632210648146</v>
      </c>
    </row>
    <row r="168" spans="1:8" x14ac:dyDescent="0.25">
      <c r="A168">
        <v>65</v>
      </c>
      <c r="B168" s="1">
        <v>44809</v>
      </c>
      <c r="C168" s="27">
        <v>16159152</v>
      </c>
      <c r="D168" s="27" t="s">
        <v>12</v>
      </c>
      <c r="E168" s="27" t="s">
        <v>694</v>
      </c>
      <c r="F168" s="27" t="s">
        <v>10</v>
      </c>
      <c r="G168" s="27" t="s">
        <v>8</v>
      </c>
      <c r="H168" s="25">
        <v>44809.343263888892</v>
      </c>
    </row>
    <row r="169" spans="1:8" x14ac:dyDescent="0.25">
      <c r="A169">
        <v>755</v>
      </c>
      <c r="B169" s="1">
        <v>44809</v>
      </c>
      <c r="C169" s="27">
        <v>16161536</v>
      </c>
      <c r="D169" s="27" t="s">
        <v>25</v>
      </c>
      <c r="E169" s="27" t="s">
        <v>631</v>
      </c>
      <c r="F169" s="27" t="s">
        <v>10</v>
      </c>
      <c r="G169" s="27" t="s">
        <v>20</v>
      </c>
      <c r="H169" s="25">
        <v>44809.602372685185</v>
      </c>
    </row>
    <row r="170" spans="1:8" x14ac:dyDescent="0.25">
      <c r="A170">
        <v>64</v>
      </c>
      <c r="B170" s="1">
        <v>44809</v>
      </c>
      <c r="C170" s="27">
        <v>16158690</v>
      </c>
      <c r="D170" s="27" t="s">
        <v>12</v>
      </c>
      <c r="E170" s="27" t="s">
        <v>693</v>
      </c>
      <c r="F170" s="27" t="s">
        <v>10</v>
      </c>
      <c r="G170" s="27" t="s">
        <v>8</v>
      </c>
      <c r="H170" s="25">
        <v>44809.341423611113</v>
      </c>
    </row>
    <row r="171" spans="1:8" x14ac:dyDescent="0.25">
      <c r="A171">
        <v>62</v>
      </c>
      <c r="B171" s="1">
        <v>44809</v>
      </c>
      <c r="C171" s="27">
        <v>16160012</v>
      </c>
      <c r="D171" s="27" t="s">
        <v>15</v>
      </c>
      <c r="E171" s="27" t="s">
        <v>593</v>
      </c>
      <c r="F171" s="27" t="s">
        <v>10</v>
      </c>
      <c r="G171" s="27" t="s">
        <v>8</v>
      </c>
      <c r="H171" s="25">
        <v>44806.67701388889</v>
      </c>
    </row>
    <row r="172" spans="1:8" x14ac:dyDescent="0.25">
      <c r="A172">
        <v>63</v>
      </c>
      <c r="B172" s="1">
        <v>44809</v>
      </c>
      <c r="C172" s="27">
        <v>16155171</v>
      </c>
      <c r="D172" s="27" t="s">
        <v>15</v>
      </c>
      <c r="E172" s="27" t="s">
        <v>692</v>
      </c>
      <c r="F172" s="27" t="s">
        <v>10</v>
      </c>
      <c r="G172" s="27" t="s">
        <v>8</v>
      </c>
      <c r="H172" s="25">
        <v>44806.679548611108</v>
      </c>
    </row>
    <row r="173" spans="1:8" x14ac:dyDescent="0.25">
      <c r="A173">
        <v>92</v>
      </c>
      <c r="B173" s="1">
        <v>44809</v>
      </c>
      <c r="C173" s="27">
        <v>16154056</v>
      </c>
      <c r="D173" s="27" t="s">
        <v>14</v>
      </c>
      <c r="E173" s="27" t="s">
        <v>554</v>
      </c>
      <c r="F173" s="27" t="s">
        <v>10</v>
      </c>
      <c r="G173" s="27" t="s">
        <v>33</v>
      </c>
      <c r="H173" s="25">
        <v>44806.611342592594</v>
      </c>
    </row>
    <row r="174" spans="1:8" x14ac:dyDescent="0.25">
      <c r="A174">
        <v>91</v>
      </c>
      <c r="B174" s="1">
        <v>44809</v>
      </c>
      <c r="C174" s="27">
        <v>16154028</v>
      </c>
      <c r="D174" s="27" t="s">
        <v>14</v>
      </c>
      <c r="E174" s="27" t="s">
        <v>553</v>
      </c>
      <c r="F174" s="27" t="s">
        <v>10</v>
      </c>
      <c r="G174" s="27" t="s">
        <v>33</v>
      </c>
      <c r="H174" s="25">
        <v>44806.609768518516</v>
      </c>
    </row>
    <row r="175" spans="1:8" x14ac:dyDescent="0.25">
      <c r="A175">
        <v>93</v>
      </c>
      <c r="B175" s="1">
        <v>44809</v>
      </c>
      <c r="C175" s="27">
        <v>16154375</v>
      </c>
      <c r="D175" s="27" t="s">
        <v>12</v>
      </c>
      <c r="E175" s="27" t="s">
        <v>607</v>
      </c>
      <c r="F175" s="27" t="s">
        <v>18</v>
      </c>
      <c r="G175" s="27" t="s">
        <v>33</v>
      </c>
      <c r="H175" s="25">
        <v>44806.628553240742</v>
      </c>
    </row>
    <row r="176" spans="1:8" x14ac:dyDescent="0.25">
      <c r="A176">
        <v>95</v>
      </c>
      <c r="B176" s="1">
        <v>44809</v>
      </c>
      <c r="C176" s="27">
        <v>16153852</v>
      </c>
      <c r="D176" s="27" t="s">
        <v>15</v>
      </c>
      <c r="E176" s="27" t="s">
        <v>561</v>
      </c>
      <c r="F176" s="27"/>
      <c r="G176" s="27" t="s">
        <v>33</v>
      </c>
      <c r="H176" s="25">
        <v>44806.680300925924</v>
      </c>
    </row>
    <row r="177" spans="1:8" x14ac:dyDescent="0.25">
      <c r="A177">
        <v>94</v>
      </c>
      <c r="B177" s="1">
        <v>44809</v>
      </c>
      <c r="C177" s="27">
        <v>16154411</v>
      </c>
      <c r="D177" s="27" t="s">
        <v>12</v>
      </c>
      <c r="E177" s="27" t="s">
        <v>608</v>
      </c>
      <c r="F177" s="27" t="s">
        <v>10</v>
      </c>
      <c r="G177" s="27" t="s">
        <v>33</v>
      </c>
      <c r="H177" s="25">
        <v>44806.628877314812</v>
      </c>
    </row>
    <row r="178" spans="1:8" x14ac:dyDescent="0.25">
      <c r="A178">
        <v>90</v>
      </c>
      <c r="B178" s="1">
        <v>44809</v>
      </c>
      <c r="C178" s="27">
        <v>16153938</v>
      </c>
      <c r="D178" s="27" t="s">
        <v>7</v>
      </c>
      <c r="E178" s="27" t="s">
        <v>548</v>
      </c>
      <c r="F178" s="27" t="s">
        <v>18</v>
      </c>
      <c r="G178" s="27" t="s">
        <v>33</v>
      </c>
      <c r="H178" s="25">
        <v>44806.605775462966</v>
      </c>
    </row>
    <row r="179" spans="1:8" x14ac:dyDescent="0.25">
      <c r="A179">
        <v>86</v>
      </c>
      <c r="B179" s="1">
        <v>44809</v>
      </c>
      <c r="C179" s="27">
        <v>16153437</v>
      </c>
      <c r="D179" s="27" t="s">
        <v>12</v>
      </c>
      <c r="E179" s="27" t="s">
        <v>545</v>
      </c>
      <c r="F179" s="27" t="s">
        <v>10</v>
      </c>
      <c r="G179" s="27" t="s">
        <v>33</v>
      </c>
      <c r="H179" s="25">
        <v>44806.592407407406</v>
      </c>
    </row>
    <row r="180" spans="1:8" x14ac:dyDescent="0.25">
      <c r="A180">
        <v>85</v>
      </c>
      <c r="B180" s="1">
        <v>44809</v>
      </c>
      <c r="C180" s="27">
        <v>16153685</v>
      </c>
      <c r="D180" s="27" t="s">
        <v>14</v>
      </c>
      <c r="E180" s="27" t="s">
        <v>335</v>
      </c>
      <c r="F180" s="27" t="s">
        <v>10</v>
      </c>
      <c r="G180" s="27" t="s">
        <v>33</v>
      </c>
      <c r="H180" s="25">
        <v>44806.590925925928</v>
      </c>
    </row>
    <row r="181" spans="1:8" x14ac:dyDescent="0.25">
      <c r="A181">
        <v>87</v>
      </c>
      <c r="B181" s="1">
        <v>44809</v>
      </c>
      <c r="C181" s="27">
        <v>16153710</v>
      </c>
      <c r="D181" s="27" t="s">
        <v>14</v>
      </c>
      <c r="E181" s="27" t="s">
        <v>359</v>
      </c>
      <c r="F181" s="27" t="s">
        <v>10</v>
      </c>
      <c r="G181" s="27" t="s">
        <v>33</v>
      </c>
      <c r="H181" s="25">
        <v>44806.592604166668</v>
      </c>
    </row>
    <row r="182" spans="1:8" x14ac:dyDescent="0.25">
      <c r="A182">
        <v>89</v>
      </c>
      <c r="B182" s="1">
        <v>44809</v>
      </c>
      <c r="C182" s="27">
        <v>16153904</v>
      </c>
      <c r="D182" s="27" t="s">
        <v>14</v>
      </c>
      <c r="E182" s="27" t="s">
        <v>547</v>
      </c>
      <c r="F182" s="27" t="s">
        <v>10</v>
      </c>
      <c r="G182" s="27" t="s">
        <v>33</v>
      </c>
      <c r="H182" s="25">
        <v>44806.603125000001</v>
      </c>
    </row>
    <row r="183" spans="1:8" x14ac:dyDescent="0.25">
      <c r="A183">
        <v>88</v>
      </c>
      <c r="B183" s="1">
        <v>44809</v>
      </c>
      <c r="C183" s="27">
        <v>16153850</v>
      </c>
      <c r="D183" s="27" t="s">
        <v>7</v>
      </c>
      <c r="E183" s="27" t="s">
        <v>546</v>
      </c>
      <c r="F183" s="27" t="s">
        <v>10</v>
      </c>
      <c r="G183" s="27" t="s">
        <v>33</v>
      </c>
      <c r="H183" s="25">
        <v>44806.600706018522</v>
      </c>
    </row>
    <row r="184" spans="1:8" x14ac:dyDescent="0.25">
      <c r="A184">
        <v>721</v>
      </c>
      <c r="B184" s="1">
        <v>44809</v>
      </c>
      <c r="C184" s="27">
        <v>16152705</v>
      </c>
      <c r="D184" s="27" t="s">
        <v>25</v>
      </c>
      <c r="E184" s="27" t="s">
        <v>494</v>
      </c>
      <c r="F184" s="27" t="s">
        <v>10</v>
      </c>
      <c r="G184" s="27" t="s">
        <v>20</v>
      </c>
      <c r="H184" s="25">
        <v>44806.514050925929</v>
      </c>
    </row>
    <row r="185" spans="1:8" x14ac:dyDescent="0.25">
      <c r="A185">
        <v>722</v>
      </c>
      <c r="B185" s="1">
        <v>44809</v>
      </c>
      <c r="C185" s="27">
        <v>16152811</v>
      </c>
      <c r="D185" s="27" t="s">
        <v>22</v>
      </c>
      <c r="E185" s="27" t="s">
        <v>495</v>
      </c>
      <c r="F185" s="27" t="s">
        <v>10</v>
      </c>
      <c r="G185" s="27" t="s">
        <v>20</v>
      </c>
      <c r="H185" s="25">
        <v>44806.530439814815</v>
      </c>
    </row>
    <row r="186" spans="1:8" x14ac:dyDescent="0.25">
      <c r="A186">
        <v>720</v>
      </c>
      <c r="B186" s="1">
        <v>44809</v>
      </c>
      <c r="C186" s="27">
        <v>16152690</v>
      </c>
      <c r="D186" s="27" t="s">
        <v>25</v>
      </c>
      <c r="E186" s="27" t="s">
        <v>181</v>
      </c>
      <c r="F186" s="27" t="s">
        <v>10</v>
      </c>
      <c r="G186" s="27" t="s">
        <v>20</v>
      </c>
      <c r="H186" s="25">
        <v>44806.513298611113</v>
      </c>
    </row>
    <row r="187" spans="1:8" x14ac:dyDescent="0.25">
      <c r="A187">
        <v>56</v>
      </c>
      <c r="B187" s="1">
        <v>44809</v>
      </c>
      <c r="C187" s="27">
        <v>16154194</v>
      </c>
      <c r="D187" s="27" t="s">
        <v>11</v>
      </c>
      <c r="E187" s="27" t="s">
        <v>596</v>
      </c>
      <c r="F187" s="27" t="s">
        <v>10</v>
      </c>
      <c r="G187" s="27" t="s">
        <v>8</v>
      </c>
      <c r="H187" s="25">
        <v>44806.617476851854</v>
      </c>
    </row>
    <row r="188" spans="1:8" x14ac:dyDescent="0.25">
      <c r="A188">
        <v>57</v>
      </c>
      <c r="B188" s="1">
        <v>44809</v>
      </c>
      <c r="C188" s="27">
        <v>16154212</v>
      </c>
      <c r="D188" s="27" t="s">
        <v>11</v>
      </c>
      <c r="E188" s="27" t="s">
        <v>485</v>
      </c>
      <c r="F188" s="27" t="s">
        <v>10</v>
      </c>
      <c r="G188" s="27" t="s">
        <v>8</v>
      </c>
      <c r="H188" s="25">
        <v>44806.618159722224</v>
      </c>
    </row>
    <row r="189" spans="1:8" x14ac:dyDescent="0.25">
      <c r="A189">
        <v>723</v>
      </c>
      <c r="B189" s="1">
        <v>44809</v>
      </c>
      <c r="C189" s="27">
        <v>16152857</v>
      </c>
      <c r="D189" s="27" t="s">
        <v>19</v>
      </c>
      <c r="E189" s="27" t="s">
        <v>499</v>
      </c>
      <c r="F189" s="27" t="s">
        <v>10</v>
      </c>
      <c r="G189" s="27" t="s">
        <v>20</v>
      </c>
      <c r="H189" s="25">
        <v>44806.569884259261</v>
      </c>
    </row>
    <row r="190" spans="1:8" x14ac:dyDescent="0.25">
      <c r="A190">
        <v>727</v>
      </c>
      <c r="B190" s="1">
        <v>44809</v>
      </c>
      <c r="C190" s="27">
        <v>16153173</v>
      </c>
      <c r="D190" s="27" t="s">
        <v>19</v>
      </c>
      <c r="E190" s="27" t="s">
        <v>498</v>
      </c>
      <c r="F190" s="27" t="s">
        <v>10</v>
      </c>
      <c r="G190" s="27" t="s">
        <v>20</v>
      </c>
      <c r="H190" s="25">
        <v>44806.56417824074</v>
      </c>
    </row>
    <row r="191" spans="1:8" x14ac:dyDescent="0.25">
      <c r="A191">
        <v>728</v>
      </c>
      <c r="B191" s="1">
        <v>44809</v>
      </c>
      <c r="C191" s="27">
        <v>16153349</v>
      </c>
      <c r="D191" s="27" t="s">
        <v>27</v>
      </c>
      <c r="E191" s="27" t="s">
        <v>193</v>
      </c>
      <c r="F191" s="27" t="s">
        <v>16</v>
      </c>
      <c r="G191" s="27" t="s">
        <v>20</v>
      </c>
      <c r="H191" s="25">
        <v>44806.572557870371</v>
      </c>
    </row>
    <row r="192" spans="1:8" x14ac:dyDescent="0.25">
      <c r="A192">
        <v>726</v>
      </c>
      <c r="B192" s="1">
        <v>44809</v>
      </c>
      <c r="C192" s="27">
        <v>16152976</v>
      </c>
      <c r="D192" s="27" t="s">
        <v>19</v>
      </c>
      <c r="E192" s="27" t="s">
        <v>501</v>
      </c>
      <c r="F192" s="27"/>
      <c r="G192" s="27" t="s">
        <v>20</v>
      </c>
      <c r="H192" s="25">
        <v>44806.57744212963</v>
      </c>
    </row>
    <row r="193" spans="1:8" x14ac:dyDescent="0.25">
      <c r="A193">
        <v>724</v>
      </c>
      <c r="B193" s="1">
        <v>44809</v>
      </c>
      <c r="C193" s="27">
        <v>16152886</v>
      </c>
      <c r="D193" s="27" t="s">
        <v>19</v>
      </c>
      <c r="E193" s="27" t="s">
        <v>500</v>
      </c>
      <c r="F193" s="27" t="s">
        <v>10</v>
      </c>
      <c r="G193" s="27" t="s">
        <v>20</v>
      </c>
      <c r="H193" s="25">
        <v>44806.570428240739</v>
      </c>
    </row>
    <row r="194" spans="1:8" x14ac:dyDescent="0.25">
      <c r="A194">
        <v>725</v>
      </c>
      <c r="B194" s="1">
        <v>44809</v>
      </c>
      <c r="C194" s="27">
        <v>16152890</v>
      </c>
      <c r="D194" s="27" t="s">
        <v>22</v>
      </c>
      <c r="E194" s="27" t="s">
        <v>496</v>
      </c>
      <c r="F194" s="27" t="s">
        <v>17</v>
      </c>
      <c r="G194" s="27" t="s">
        <v>20</v>
      </c>
      <c r="H194" s="25">
        <v>44806.539826388886</v>
      </c>
    </row>
    <row r="195" spans="1:8" x14ac:dyDescent="0.25">
      <c r="A195">
        <v>45</v>
      </c>
      <c r="B195" s="1">
        <v>44809</v>
      </c>
      <c r="C195" s="27">
        <v>16152883</v>
      </c>
      <c r="D195" s="27" t="s">
        <v>7</v>
      </c>
      <c r="E195" s="27" t="s">
        <v>587</v>
      </c>
      <c r="F195" s="27" t="s">
        <v>10</v>
      </c>
      <c r="G195" s="27" t="s">
        <v>8</v>
      </c>
      <c r="H195" s="25">
        <v>44806.539652777778</v>
      </c>
    </row>
    <row r="196" spans="1:8" x14ac:dyDescent="0.25">
      <c r="A196">
        <v>46</v>
      </c>
      <c r="B196" s="1">
        <v>44809</v>
      </c>
      <c r="C196" s="27">
        <v>16152939</v>
      </c>
      <c r="D196" s="27" t="s">
        <v>7</v>
      </c>
      <c r="E196" s="27" t="s">
        <v>588</v>
      </c>
      <c r="F196" s="27" t="s">
        <v>10</v>
      </c>
      <c r="G196" s="27" t="s">
        <v>8</v>
      </c>
      <c r="H196" s="25">
        <v>44806.545972222222</v>
      </c>
    </row>
    <row r="197" spans="1:8" x14ac:dyDescent="0.25">
      <c r="A197">
        <v>44</v>
      </c>
      <c r="B197" s="1">
        <v>44809</v>
      </c>
      <c r="C197" s="27">
        <v>16152285</v>
      </c>
      <c r="D197" s="27" t="s">
        <v>7</v>
      </c>
      <c r="E197" s="27" t="s">
        <v>586</v>
      </c>
      <c r="F197" s="27" t="s">
        <v>10</v>
      </c>
      <c r="G197" s="27" t="s">
        <v>8</v>
      </c>
      <c r="H197" s="25">
        <v>44806.523275462961</v>
      </c>
    </row>
    <row r="198" spans="1:8" x14ac:dyDescent="0.25">
      <c r="A198">
        <v>42</v>
      </c>
      <c r="B198" s="1">
        <v>44809</v>
      </c>
      <c r="C198" s="27">
        <v>16152007</v>
      </c>
      <c r="D198" s="27" t="s">
        <v>11</v>
      </c>
      <c r="E198" s="27" t="s">
        <v>463</v>
      </c>
      <c r="F198" s="27" t="s">
        <v>10</v>
      </c>
      <c r="G198" s="27" t="s">
        <v>8</v>
      </c>
      <c r="H198" s="25">
        <v>44806.436412037037</v>
      </c>
    </row>
    <row r="199" spans="1:8" x14ac:dyDescent="0.25">
      <c r="A199">
        <v>718</v>
      </c>
      <c r="B199" s="1">
        <v>44809</v>
      </c>
      <c r="C199" s="27">
        <v>16152280</v>
      </c>
      <c r="D199" s="27" t="s">
        <v>19</v>
      </c>
      <c r="E199" s="27" t="s">
        <v>93</v>
      </c>
      <c r="F199" s="27" t="s">
        <v>10</v>
      </c>
      <c r="G199" s="27" t="s">
        <v>20</v>
      </c>
      <c r="H199" s="25">
        <v>44806.557523148149</v>
      </c>
    </row>
    <row r="200" spans="1:8" x14ac:dyDescent="0.25">
      <c r="A200">
        <v>47</v>
      </c>
      <c r="B200" s="1">
        <v>44809</v>
      </c>
      <c r="C200" s="27">
        <v>16153055</v>
      </c>
      <c r="D200" s="27" t="s">
        <v>7</v>
      </c>
      <c r="E200" s="27" t="s">
        <v>589</v>
      </c>
      <c r="F200" s="27" t="s">
        <v>10</v>
      </c>
      <c r="G200" s="27" t="s">
        <v>8</v>
      </c>
      <c r="H200" s="25">
        <v>44806.554328703707</v>
      </c>
    </row>
    <row r="201" spans="1:8" x14ac:dyDescent="0.25">
      <c r="A201">
        <v>52</v>
      </c>
      <c r="B201" s="1">
        <v>44809</v>
      </c>
      <c r="C201" s="27">
        <v>16153932</v>
      </c>
      <c r="D201" s="27" t="s">
        <v>15</v>
      </c>
      <c r="E201" s="27" t="s">
        <v>593</v>
      </c>
      <c r="F201" s="27" t="s">
        <v>18</v>
      </c>
      <c r="G201" s="27" t="s">
        <v>8</v>
      </c>
      <c r="H201" s="25">
        <v>44806.605127314811</v>
      </c>
    </row>
    <row r="202" spans="1:8" x14ac:dyDescent="0.25">
      <c r="A202">
        <v>53</v>
      </c>
      <c r="B202" s="1">
        <v>44809</v>
      </c>
      <c r="C202" s="27">
        <v>16154073</v>
      </c>
      <c r="D202" s="27" t="s">
        <v>14</v>
      </c>
      <c r="E202" s="27" t="s">
        <v>594</v>
      </c>
      <c r="F202" s="27" t="s">
        <v>10</v>
      </c>
      <c r="G202" s="27" t="s">
        <v>8</v>
      </c>
      <c r="H202" s="25">
        <v>44806.612025462964</v>
      </c>
    </row>
    <row r="203" spans="1:8" x14ac:dyDescent="0.25">
      <c r="A203">
        <v>50</v>
      </c>
      <c r="B203" s="1">
        <v>44809</v>
      </c>
      <c r="C203" s="27">
        <v>16153753</v>
      </c>
      <c r="D203" s="27" t="s">
        <v>15</v>
      </c>
      <c r="E203" s="27" t="s">
        <v>592</v>
      </c>
      <c r="F203" s="27" t="s">
        <v>10</v>
      </c>
      <c r="G203" s="27" t="s">
        <v>8</v>
      </c>
      <c r="H203" s="25">
        <v>44806.595462962963</v>
      </c>
    </row>
    <row r="204" spans="1:8" x14ac:dyDescent="0.25">
      <c r="A204">
        <v>48</v>
      </c>
      <c r="B204" s="1">
        <v>44809</v>
      </c>
      <c r="C204" s="27">
        <v>16152826</v>
      </c>
      <c r="D204" s="27" t="s">
        <v>7</v>
      </c>
      <c r="E204" s="27" t="s">
        <v>590</v>
      </c>
      <c r="F204" s="27" t="s">
        <v>10</v>
      </c>
      <c r="G204" s="27" t="s">
        <v>8</v>
      </c>
      <c r="H204" s="25">
        <v>44806.568159722221</v>
      </c>
    </row>
    <row r="205" spans="1:8" x14ac:dyDescent="0.25">
      <c r="A205">
        <v>49</v>
      </c>
      <c r="B205" s="1">
        <v>44809</v>
      </c>
      <c r="C205" s="27">
        <v>16152840</v>
      </c>
      <c r="D205" s="27" t="s">
        <v>7</v>
      </c>
      <c r="E205" s="27" t="s">
        <v>591</v>
      </c>
      <c r="F205" s="27" t="s">
        <v>10</v>
      </c>
      <c r="G205" s="27" t="s">
        <v>8</v>
      </c>
      <c r="H205" s="25">
        <v>44806.568784722222</v>
      </c>
    </row>
    <row r="206" spans="1:8" x14ac:dyDescent="0.25">
      <c r="A206">
        <v>531</v>
      </c>
      <c r="B206" s="1">
        <v>44809</v>
      </c>
      <c r="C206" s="27">
        <v>16153390</v>
      </c>
      <c r="D206" s="27" t="s">
        <v>7</v>
      </c>
      <c r="E206" s="27" t="s">
        <v>575</v>
      </c>
      <c r="F206" s="27" t="s">
        <v>24</v>
      </c>
      <c r="G206" s="27" t="s">
        <v>29</v>
      </c>
      <c r="H206" s="25">
        <v>44806.576261574075</v>
      </c>
    </row>
    <row r="207" spans="1:8" x14ac:dyDescent="0.25">
      <c r="A207">
        <v>523</v>
      </c>
      <c r="B207" s="1">
        <v>44809</v>
      </c>
      <c r="C207" s="27">
        <v>16151707</v>
      </c>
      <c r="D207" s="27" t="s">
        <v>11</v>
      </c>
      <c r="E207" s="27" t="s">
        <v>438</v>
      </c>
      <c r="F207" s="27" t="s">
        <v>17</v>
      </c>
      <c r="G207" s="27" t="s">
        <v>29</v>
      </c>
      <c r="H207" s="25">
        <v>44806.409745370373</v>
      </c>
    </row>
    <row r="208" spans="1:8" x14ac:dyDescent="0.25">
      <c r="A208">
        <v>532</v>
      </c>
      <c r="B208" s="1">
        <v>44809</v>
      </c>
      <c r="C208" s="27">
        <v>16153036</v>
      </c>
      <c r="D208" s="27" t="s">
        <v>7</v>
      </c>
      <c r="E208" s="27" t="s">
        <v>571</v>
      </c>
      <c r="F208" s="27"/>
      <c r="G208" s="27" t="s">
        <v>29</v>
      </c>
      <c r="H208" s="25">
        <v>44806.578009259261</v>
      </c>
    </row>
    <row r="209" spans="1:8" x14ac:dyDescent="0.25">
      <c r="A209">
        <v>739</v>
      </c>
      <c r="B209" s="1">
        <v>44809</v>
      </c>
      <c r="C209" s="27">
        <v>16156692</v>
      </c>
      <c r="D209" s="27" t="s">
        <v>23</v>
      </c>
      <c r="E209" s="27" t="s">
        <v>617</v>
      </c>
      <c r="F209" s="27" t="s">
        <v>10</v>
      </c>
      <c r="G209" s="27" t="s">
        <v>20</v>
      </c>
      <c r="H209" s="25">
        <v>44807.47047453704</v>
      </c>
    </row>
    <row r="210" spans="1:8" x14ac:dyDescent="0.25">
      <c r="A210">
        <v>528</v>
      </c>
      <c r="B210" s="1">
        <v>44809</v>
      </c>
      <c r="C210" s="27">
        <v>16153602</v>
      </c>
      <c r="D210" s="27" t="s">
        <v>11</v>
      </c>
      <c r="E210" s="27" t="s">
        <v>573</v>
      </c>
      <c r="F210" s="27" t="s">
        <v>24</v>
      </c>
      <c r="G210" s="27" t="s">
        <v>29</v>
      </c>
      <c r="H210" s="25">
        <v>44806.590937499997</v>
      </c>
    </row>
    <row r="211" spans="1:8" x14ac:dyDescent="0.25">
      <c r="A211">
        <v>530</v>
      </c>
      <c r="B211" s="1">
        <v>44809</v>
      </c>
      <c r="C211" s="27">
        <v>16153320</v>
      </c>
      <c r="D211" s="27" t="s">
        <v>7</v>
      </c>
      <c r="E211" s="27" t="s">
        <v>574</v>
      </c>
      <c r="F211" s="27"/>
      <c r="G211" s="27" t="s">
        <v>29</v>
      </c>
      <c r="H211" s="25">
        <v>44806.572453703702</v>
      </c>
    </row>
    <row r="212" spans="1:8" x14ac:dyDescent="0.25">
      <c r="A212">
        <v>529</v>
      </c>
      <c r="B212" s="1">
        <v>44809</v>
      </c>
      <c r="C212" s="27">
        <v>16153694</v>
      </c>
      <c r="D212" s="27" t="s">
        <v>11</v>
      </c>
      <c r="E212" s="27" t="s">
        <v>405</v>
      </c>
      <c r="F212" s="27" t="s">
        <v>10</v>
      </c>
      <c r="G212" s="27" t="s">
        <v>29</v>
      </c>
      <c r="H212" s="25">
        <v>44806.591956018521</v>
      </c>
    </row>
    <row r="213" spans="1:8" x14ac:dyDescent="0.25">
      <c r="A213">
        <v>527</v>
      </c>
      <c r="B213" s="1">
        <v>44809</v>
      </c>
      <c r="C213" s="27">
        <v>16153059</v>
      </c>
      <c r="D213" s="27" t="s">
        <v>7</v>
      </c>
      <c r="E213" s="27" t="s">
        <v>572</v>
      </c>
      <c r="F213" s="27" t="s">
        <v>24</v>
      </c>
      <c r="G213" s="27" t="s">
        <v>29</v>
      </c>
      <c r="H213" s="25">
        <v>44806.578530092593</v>
      </c>
    </row>
    <row r="214" spans="1:8" x14ac:dyDescent="0.25">
      <c r="A214">
        <v>526</v>
      </c>
      <c r="B214" s="1">
        <v>44809</v>
      </c>
      <c r="C214" s="27">
        <v>16153317</v>
      </c>
      <c r="D214" s="27" t="s">
        <v>11</v>
      </c>
      <c r="E214" s="27" t="s">
        <v>437</v>
      </c>
      <c r="F214" s="27" t="s">
        <v>17</v>
      </c>
      <c r="G214" s="27" t="s">
        <v>29</v>
      </c>
      <c r="H214" s="25">
        <v>44806.571157407408</v>
      </c>
    </row>
    <row r="215" spans="1:8" x14ac:dyDescent="0.25">
      <c r="A215">
        <v>524</v>
      </c>
      <c r="B215" s="1">
        <v>44809</v>
      </c>
      <c r="C215" s="27">
        <v>16147007</v>
      </c>
      <c r="D215" s="27" t="s">
        <v>46</v>
      </c>
      <c r="E215" s="27" t="s">
        <v>451</v>
      </c>
      <c r="F215" s="27" t="s">
        <v>17</v>
      </c>
      <c r="G215" s="27" t="s">
        <v>29</v>
      </c>
      <c r="H215" s="25">
        <v>44805.570219907408</v>
      </c>
    </row>
    <row r="216" spans="1:8" x14ac:dyDescent="0.25">
      <c r="A216">
        <v>525</v>
      </c>
      <c r="B216" s="1">
        <v>44809</v>
      </c>
      <c r="C216" s="27">
        <v>16147026</v>
      </c>
      <c r="D216" s="27" t="s">
        <v>46</v>
      </c>
      <c r="E216" s="27" t="s">
        <v>450</v>
      </c>
      <c r="F216" s="27" t="s">
        <v>17</v>
      </c>
      <c r="G216" s="27" t="s">
        <v>29</v>
      </c>
      <c r="H216" s="25">
        <v>44805.573009259257</v>
      </c>
    </row>
    <row r="217" spans="1:8" x14ac:dyDescent="0.25">
      <c r="A217">
        <v>738</v>
      </c>
      <c r="B217" s="1">
        <v>44809</v>
      </c>
      <c r="C217" s="27">
        <v>16156685</v>
      </c>
      <c r="D217" s="27" t="s">
        <v>23</v>
      </c>
      <c r="E217" s="27" t="s">
        <v>174</v>
      </c>
      <c r="F217" s="27" t="s">
        <v>10</v>
      </c>
      <c r="G217" s="27" t="s">
        <v>20</v>
      </c>
      <c r="H217" s="25">
        <v>44807.466168981482</v>
      </c>
    </row>
    <row r="218" spans="1:8" x14ac:dyDescent="0.25">
      <c r="A218">
        <v>732</v>
      </c>
      <c r="B218" s="1">
        <v>44809</v>
      </c>
      <c r="C218" s="27">
        <v>16153959</v>
      </c>
      <c r="D218" s="27" t="s">
        <v>22</v>
      </c>
      <c r="E218" s="27" t="s">
        <v>505</v>
      </c>
      <c r="F218" s="27" t="s">
        <v>16</v>
      </c>
      <c r="G218" s="27" t="s">
        <v>20</v>
      </c>
      <c r="H218" s="25">
        <v>44806.606458333335</v>
      </c>
    </row>
    <row r="219" spans="1:8" x14ac:dyDescent="0.25">
      <c r="A219">
        <v>731</v>
      </c>
      <c r="B219" s="1">
        <v>44809</v>
      </c>
      <c r="C219" s="27">
        <v>16153777</v>
      </c>
      <c r="D219" s="27" t="s">
        <v>22</v>
      </c>
      <c r="E219" s="27" t="s">
        <v>504</v>
      </c>
      <c r="F219" s="27" t="s">
        <v>17</v>
      </c>
      <c r="G219" s="27" t="s">
        <v>20</v>
      </c>
      <c r="H219" s="25">
        <v>44806.597326388888</v>
      </c>
    </row>
    <row r="220" spans="1:8" x14ac:dyDescent="0.25">
      <c r="A220">
        <v>730</v>
      </c>
      <c r="B220" s="1">
        <v>44809</v>
      </c>
      <c r="C220" s="27">
        <v>16153542</v>
      </c>
      <c r="D220" s="27" t="s">
        <v>22</v>
      </c>
      <c r="E220" s="27" t="s">
        <v>503</v>
      </c>
      <c r="F220" s="27" t="s">
        <v>10</v>
      </c>
      <c r="G220" s="27" t="s">
        <v>20</v>
      </c>
      <c r="H220" s="25">
        <v>44806.583182870374</v>
      </c>
    </row>
    <row r="221" spans="1:8" x14ac:dyDescent="0.25">
      <c r="A221">
        <v>740</v>
      </c>
      <c r="B221" s="1">
        <v>44809</v>
      </c>
      <c r="C221" s="27">
        <v>16159342</v>
      </c>
      <c r="D221" s="27" t="s">
        <v>23</v>
      </c>
      <c r="E221" s="27" t="s">
        <v>618</v>
      </c>
      <c r="F221" s="27" t="s">
        <v>10</v>
      </c>
      <c r="G221" s="27" t="s">
        <v>20</v>
      </c>
      <c r="H221" s="25">
        <v>44809.378946759258</v>
      </c>
    </row>
    <row r="222" spans="1:8" x14ac:dyDescent="0.25">
      <c r="A222">
        <v>736</v>
      </c>
      <c r="B222" s="1">
        <v>44809</v>
      </c>
      <c r="C222" s="27">
        <v>16156613</v>
      </c>
      <c r="D222" s="27" t="s">
        <v>23</v>
      </c>
      <c r="E222" s="27" t="s">
        <v>615</v>
      </c>
      <c r="F222" s="27" t="s">
        <v>10</v>
      </c>
      <c r="G222" s="27" t="s">
        <v>20</v>
      </c>
      <c r="H222" s="25">
        <v>44807.434074074074</v>
      </c>
    </row>
    <row r="223" spans="1:8" x14ac:dyDescent="0.25">
      <c r="A223">
        <v>737</v>
      </c>
      <c r="B223" s="1">
        <v>44809</v>
      </c>
      <c r="C223" s="27">
        <v>16156680</v>
      </c>
      <c r="D223" s="27" t="s">
        <v>23</v>
      </c>
      <c r="E223" s="27" t="s">
        <v>616</v>
      </c>
      <c r="F223" s="27"/>
      <c r="G223" s="27" t="s">
        <v>20</v>
      </c>
      <c r="H223" s="25">
        <v>44807.464259259257</v>
      </c>
    </row>
    <row r="224" spans="1:8" x14ac:dyDescent="0.25">
      <c r="A224">
        <v>733</v>
      </c>
      <c r="B224" s="1">
        <v>44809</v>
      </c>
      <c r="C224" s="27">
        <v>16154289</v>
      </c>
      <c r="D224" s="27" t="s">
        <v>19</v>
      </c>
      <c r="E224" s="27" t="s">
        <v>506</v>
      </c>
      <c r="F224" s="27" t="s">
        <v>10</v>
      </c>
      <c r="G224" s="27" t="s">
        <v>20</v>
      </c>
      <c r="H224" s="25">
        <v>44806.623113425929</v>
      </c>
    </row>
    <row r="225" spans="1:8" x14ac:dyDescent="0.25">
      <c r="A225">
        <v>734</v>
      </c>
      <c r="B225" s="1">
        <v>44809</v>
      </c>
      <c r="C225" s="27">
        <v>16154365</v>
      </c>
      <c r="D225" s="27" t="s">
        <v>19</v>
      </c>
      <c r="E225" s="27" t="s">
        <v>600</v>
      </c>
      <c r="F225" s="27" t="s">
        <v>10</v>
      </c>
      <c r="G225" s="27" t="s">
        <v>20</v>
      </c>
      <c r="H225" s="25">
        <v>44806.627442129633</v>
      </c>
    </row>
    <row r="226" spans="1:8" x14ac:dyDescent="0.25">
      <c r="A226">
        <v>505</v>
      </c>
      <c r="B226" s="1">
        <v>44808</v>
      </c>
      <c r="C226" s="27">
        <v>16157653</v>
      </c>
      <c r="D226" s="27" t="s">
        <v>14</v>
      </c>
      <c r="E226" s="27" t="s">
        <v>677</v>
      </c>
      <c r="F226" s="27" t="s">
        <v>28</v>
      </c>
      <c r="G226" s="27" t="s">
        <v>29</v>
      </c>
      <c r="H226" s="25">
        <v>44808.443761574075</v>
      </c>
    </row>
    <row r="227" spans="1:8" x14ac:dyDescent="0.25">
      <c r="A227">
        <v>277</v>
      </c>
      <c r="B227" s="1">
        <v>44807</v>
      </c>
      <c r="C227" s="27">
        <v>16153318</v>
      </c>
      <c r="D227" s="27" t="s">
        <v>11</v>
      </c>
      <c r="E227" s="27" t="s">
        <v>517</v>
      </c>
      <c r="F227" s="27" t="s">
        <v>10</v>
      </c>
      <c r="G227" s="27" t="s">
        <v>30</v>
      </c>
      <c r="H227" s="25">
        <v>44806.571238425924</v>
      </c>
    </row>
    <row r="228" spans="1:8" x14ac:dyDescent="0.25">
      <c r="A228">
        <v>276</v>
      </c>
      <c r="B228" s="1">
        <v>44807</v>
      </c>
      <c r="C228" s="27">
        <v>16153243</v>
      </c>
      <c r="D228" s="27" t="s">
        <v>14</v>
      </c>
      <c r="E228" s="27" t="s">
        <v>516</v>
      </c>
      <c r="F228" s="27" t="s">
        <v>10</v>
      </c>
      <c r="G228" s="27" t="s">
        <v>30</v>
      </c>
      <c r="H228" s="25">
        <v>44806.566377314812</v>
      </c>
    </row>
    <row r="229" spans="1:8" x14ac:dyDescent="0.25">
      <c r="A229">
        <v>278</v>
      </c>
      <c r="B229" s="1">
        <v>44807</v>
      </c>
      <c r="C229" s="27">
        <v>16153406</v>
      </c>
      <c r="D229" s="27" t="s">
        <v>14</v>
      </c>
      <c r="E229" s="27" t="s">
        <v>518</v>
      </c>
      <c r="F229" s="27" t="s">
        <v>10</v>
      </c>
      <c r="G229" s="27" t="s">
        <v>30</v>
      </c>
      <c r="H229" s="25">
        <v>44806.579259259262</v>
      </c>
    </row>
    <row r="230" spans="1:8" x14ac:dyDescent="0.25">
      <c r="A230">
        <v>279</v>
      </c>
      <c r="B230" s="1">
        <v>44807</v>
      </c>
      <c r="C230" s="27">
        <v>16153588</v>
      </c>
      <c r="D230" s="27" t="s">
        <v>14</v>
      </c>
      <c r="E230" s="27" t="s">
        <v>519</v>
      </c>
      <c r="F230" s="27" t="s">
        <v>10</v>
      </c>
      <c r="G230" s="27" t="s">
        <v>30</v>
      </c>
      <c r="H230" s="25">
        <v>44806.586041666669</v>
      </c>
    </row>
    <row r="231" spans="1:8" x14ac:dyDescent="0.25">
      <c r="A231">
        <v>55</v>
      </c>
      <c r="B231" s="1">
        <v>44807</v>
      </c>
      <c r="C231" s="27">
        <v>16154135</v>
      </c>
      <c r="D231" s="27" t="s">
        <v>11</v>
      </c>
      <c r="E231" s="27" t="s">
        <v>481</v>
      </c>
      <c r="F231" s="27" t="s">
        <v>10</v>
      </c>
      <c r="G231" s="27" t="s">
        <v>8</v>
      </c>
      <c r="H231" s="25">
        <v>44806.614791666667</v>
      </c>
    </row>
    <row r="232" spans="1:8" x14ac:dyDescent="0.25">
      <c r="A232">
        <v>286</v>
      </c>
      <c r="B232" s="1">
        <v>44807</v>
      </c>
      <c r="C232" s="27">
        <v>16153113</v>
      </c>
      <c r="D232" s="27" t="s">
        <v>11</v>
      </c>
      <c r="E232" s="27" t="s">
        <v>515</v>
      </c>
      <c r="F232" s="27" t="s">
        <v>10</v>
      </c>
      <c r="G232" s="27" t="s">
        <v>30</v>
      </c>
      <c r="H232" s="25">
        <v>44806.55809027778</v>
      </c>
    </row>
    <row r="233" spans="1:8" x14ac:dyDescent="0.25">
      <c r="A233">
        <v>285</v>
      </c>
      <c r="B233" s="1">
        <v>44807</v>
      </c>
      <c r="C233" s="27">
        <v>16153013</v>
      </c>
      <c r="D233" s="27" t="s">
        <v>11</v>
      </c>
      <c r="E233" s="27" t="s">
        <v>228</v>
      </c>
      <c r="F233" s="27" t="s">
        <v>10</v>
      </c>
      <c r="G233" s="27" t="s">
        <v>30</v>
      </c>
      <c r="H233" s="25">
        <v>44806.550451388888</v>
      </c>
    </row>
    <row r="234" spans="1:8" x14ac:dyDescent="0.25">
      <c r="A234">
        <v>283</v>
      </c>
      <c r="B234" s="1">
        <v>44807</v>
      </c>
      <c r="C234" s="27">
        <v>16154297</v>
      </c>
      <c r="D234" s="27" t="s">
        <v>11</v>
      </c>
      <c r="E234" s="27" t="s">
        <v>543</v>
      </c>
      <c r="F234" s="27" t="s">
        <v>10</v>
      </c>
      <c r="G234" s="27" t="s">
        <v>30</v>
      </c>
      <c r="H234" s="25">
        <v>44806.622488425928</v>
      </c>
    </row>
    <row r="235" spans="1:8" x14ac:dyDescent="0.25">
      <c r="A235">
        <v>282</v>
      </c>
      <c r="B235" s="1">
        <v>44807</v>
      </c>
      <c r="C235" s="27">
        <v>16154239</v>
      </c>
      <c r="D235" s="27" t="s">
        <v>11</v>
      </c>
      <c r="E235" s="27" t="s">
        <v>537</v>
      </c>
      <c r="F235" s="27" t="s">
        <v>10</v>
      </c>
      <c r="G235" s="27" t="s">
        <v>30</v>
      </c>
      <c r="H235" s="25">
        <v>44806.619456018518</v>
      </c>
    </row>
    <row r="236" spans="1:8" x14ac:dyDescent="0.25">
      <c r="A236">
        <v>280</v>
      </c>
      <c r="B236" s="1">
        <v>44807</v>
      </c>
      <c r="C236" s="27">
        <v>16153717</v>
      </c>
      <c r="D236" s="27" t="s">
        <v>14</v>
      </c>
      <c r="E236" s="27" t="s">
        <v>520</v>
      </c>
      <c r="F236" s="27" t="s">
        <v>10</v>
      </c>
      <c r="G236" s="27" t="s">
        <v>30</v>
      </c>
      <c r="H236" s="25">
        <v>44806.593055555553</v>
      </c>
    </row>
    <row r="237" spans="1:8" x14ac:dyDescent="0.25">
      <c r="A237">
        <v>735</v>
      </c>
      <c r="B237" s="1">
        <v>44807</v>
      </c>
      <c r="C237" s="27">
        <v>16154574</v>
      </c>
      <c r="D237" s="27" t="s">
        <v>22</v>
      </c>
      <c r="E237" s="27" t="s">
        <v>601</v>
      </c>
      <c r="F237" s="27" t="s">
        <v>16</v>
      </c>
      <c r="G237" s="27" t="s">
        <v>20</v>
      </c>
      <c r="H237" s="25">
        <v>44806.638090277775</v>
      </c>
    </row>
    <row r="238" spans="1:8" x14ac:dyDescent="0.25">
      <c r="A238">
        <v>275</v>
      </c>
      <c r="B238" s="1">
        <v>44807</v>
      </c>
      <c r="C238" s="27">
        <v>16157005</v>
      </c>
      <c r="D238" s="27" t="s">
        <v>14</v>
      </c>
      <c r="E238" s="27" t="s">
        <v>648</v>
      </c>
      <c r="F238" s="27" t="s">
        <v>10</v>
      </c>
      <c r="G238" s="27" t="s">
        <v>30</v>
      </c>
      <c r="H238" s="25">
        <v>44807.817060185182</v>
      </c>
    </row>
    <row r="239" spans="1:8" x14ac:dyDescent="0.25">
      <c r="A239">
        <v>281</v>
      </c>
      <c r="B239" s="1">
        <v>44807</v>
      </c>
      <c r="C239" s="27">
        <v>16154191</v>
      </c>
      <c r="D239" s="27" t="s">
        <v>11</v>
      </c>
      <c r="E239" s="27" t="s">
        <v>534</v>
      </c>
      <c r="F239" s="27" t="s">
        <v>10</v>
      </c>
      <c r="G239" s="27" t="s">
        <v>30</v>
      </c>
      <c r="H239" s="25">
        <v>44806.617268518516</v>
      </c>
    </row>
    <row r="240" spans="1:8" x14ac:dyDescent="0.25">
      <c r="A240">
        <v>284</v>
      </c>
      <c r="B240" s="1">
        <v>44807</v>
      </c>
      <c r="C240" s="27">
        <v>16154094</v>
      </c>
      <c r="D240" s="27" t="s">
        <v>11</v>
      </c>
      <c r="E240" s="27" t="s">
        <v>528</v>
      </c>
      <c r="F240" s="27"/>
      <c r="G240" s="27" t="s">
        <v>30</v>
      </c>
      <c r="H240" s="25">
        <v>44806.613229166665</v>
      </c>
    </row>
    <row r="241" spans="1:8" x14ac:dyDescent="0.25">
      <c r="A241">
        <v>105</v>
      </c>
      <c r="B241" s="1">
        <v>44807</v>
      </c>
      <c r="C241" s="27">
        <v>16151600</v>
      </c>
      <c r="D241" s="27" t="s">
        <v>14</v>
      </c>
      <c r="E241" s="27" t="s">
        <v>549</v>
      </c>
      <c r="F241" s="27" t="s">
        <v>10</v>
      </c>
      <c r="G241" s="27" t="s">
        <v>33</v>
      </c>
      <c r="H241" s="25">
        <v>44806.40315972222</v>
      </c>
    </row>
    <row r="242" spans="1:8" x14ac:dyDescent="0.25">
      <c r="A242">
        <v>109</v>
      </c>
      <c r="B242" s="1">
        <v>44807</v>
      </c>
      <c r="C242" s="27">
        <v>16151807</v>
      </c>
      <c r="D242" s="27" t="s">
        <v>14</v>
      </c>
      <c r="E242" s="27" t="s">
        <v>61</v>
      </c>
      <c r="F242" s="27" t="s">
        <v>10</v>
      </c>
      <c r="G242" s="27" t="s">
        <v>33</v>
      </c>
      <c r="H242" s="25">
        <v>44806.432604166665</v>
      </c>
    </row>
    <row r="243" spans="1:8" x14ac:dyDescent="0.25">
      <c r="A243">
        <v>106</v>
      </c>
      <c r="B243" s="1">
        <v>44807</v>
      </c>
      <c r="C243" s="27">
        <v>16151766</v>
      </c>
      <c r="D243" s="27" t="s">
        <v>14</v>
      </c>
      <c r="E243" s="27" t="s">
        <v>550</v>
      </c>
      <c r="F243" s="27" t="s">
        <v>10</v>
      </c>
      <c r="G243" s="27" t="s">
        <v>33</v>
      </c>
      <c r="H243" s="25">
        <v>44806.413865740738</v>
      </c>
    </row>
    <row r="244" spans="1:8" x14ac:dyDescent="0.25">
      <c r="A244">
        <v>108</v>
      </c>
      <c r="B244" s="1">
        <v>44807</v>
      </c>
      <c r="C244" s="27">
        <v>16151705</v>
      </c>
      <c r="D244" s="27" t="s">
        <v>14</v>
      </c>
      <c r="E244" s="27" t="s">
        <v>551</v>
      </c>
      <c r="F244" s="27" t="s">
        <v>10</v>
      </c>
      <c r="G244" s="27" t="s">
        <v>33</v>
      </c>
      <c r="H244" s="25">
        <v>44806.431226851855</v>
      </c>
    </row>
    <row r="245" spans="1:8" x14ac:dyDescent="0.25">
      <c r="A245">
        <v>107</v>
      </c>
      <c r="B245" s="1">
        <v>44807</v>
      </c>
      <c r="C245" s="27">
        <v>16151807</v>
      </c>
      <c r="D245" s="27" t="s">
        <v>14</v>
      </c>
      <c r="E245" s="27" t="s">
        <v>61</v>
      </c>
      <c r="F245" s="27" t="s">
        <v>10</v>
      </c>
      <c r="G245" s="27" t="s">
        <v>33</v>
      </c>
      <c r="H245" s="25">
        <v>44806.418240740742</v>
      </c>
    </row>
    <row r="246" spans="1:8" x14ac:dyDescent="0.25">
      <c r="A246">
        <v>501</v>
      </c>
      <c r="B246" s="1">
        <v>44807</v>
      </c>
      <c r="C246" s="27">
        <v>16153905</v>
      </c>
      <c r="D246" s="27" t="s">
        <v>15</v>
      </c>
      <c r="E246" s="27" t="s">
        <v>559</v>
      </c>
      <c r="F246" s="27" t="s">
        <v>24</v>
      </c>
      <c r="G246" s="27" t="s">
        <v>29</v>
      </c>
      <c r="H246" s="25">
        <v>44806.603252314817</v>
      </c>
    </row>
    <row r="247" spans="1:8" x14ac:dyDescent="0.25">
      <c r="A247">
        <v>504</v>
      </c>
      <c r="B247" s="1">
        <v>44807</v>
      </c>
      <c r="C247" s="27">
        <v>16153819</v>
      </c>
      <c r="D247" s="27" t="s">
        <v>15</v>
      </c>
      <c r="E247" s="27" t="s">
        <v>560</v>
      </c>
      <c r="F247" s="27" t="s">
        <v>28</v>
      </c>
      <c r="G247" s="27" t="s">
        <v>29</v>
      </c>
      <c r="H247" s="25">
        <v>44806.599259259259</v>
      </c>
    </row>
    <row r="248" spans="1:8" x14ac:dyDescent="0.25">
      <c r="A248">
        <v>287</v>
      </c>
      <c r="B248" s="1">
        <v>44807</v>
      </c>
      <c r="C248" s="27">
        <v>16148742</v>
      </c>
      <c r="D248" s="27" t="s">
        <v>11</v>
      </c>
      <c r="E248" s="27" t="s">
        <v>290</v>
      </c>
      <c r="F248" s="27" t="s">
        <v>10</v>
      </c>
      <c r="G248" s="27" t="s">
        <v>30</v>
      </c>
      <c r="H248" s="25">
        <v>44806.554606481484</v>
      </c>
    </row>
    <row r="249" spans="1:8" x14ac:dyDescent="0.25">
      <c r="A249">
        <v>503</v>
      </c>
      <c r="B249" s="1">
        <v>44807</v>
      </c>
      <c r="C249" s="27">
        <v>16146964</v>
      </c>
      <c r="D249" s="27" t="s">
        <v>46</v>
      </c>
      <c r="E249" s="27" t="s">
        <v>450</v>
      </c>
      <c r="F249" s="27" t="s">
        <v>24</v>
      </c>
      <c r="G249" s="27" t="s">
        <v>29</v>
      </c>
      <c r="H249" s="25">
        <v>44805.572430555556</v>
      </c>
    </row>
    <row r="250" spans="1:8" x14ac:dyDescent="0.25">
      <c r="A250">
        <v>502</v>
      </c>
      <c r="B250" s="1">
        <v>44807</v>
      </c>
      <c r="C250" s="27">
        <v>16156635</v>
      </c>
      <c r="D250" s="27" t="s">
        <v>11</v>
      </c>
      <c r="E250" s="27" t="s">
        <v>676</v>
      </c>
      <c r="F250" s="27" t="s">
        <v>24</v>
      </c>
      <c r="G250" s="27" t="s">
        <v>29</v>
      </c>
      <c r="H250" s="25">
        <v>44807.447881944441</v>
      </c>
    </row>
    <row r="251" spans="1:8" x14ac:dyDescent="0.25">
      <c r="A251">
        <v>495</v>
      </c>
      <c r="B251" s="1">
        <v>44806</v>
      </c>
      <c r="C251" s="27">
        <v>16146243</v>
      </c>
      <c r="D251" s="27" t="s">
        <v>11</v>
      </c>
      <c r="E251" s="27" t="s">
        <v>437</v>
      </c>
      <c r="F251" s="27" t="s">
        <v>28</v>
      </c>
      <c r="G251" s="27" t="s">
        <v>29</v>
      </c>
      <c r="H251" s="25">
        <v>44805.370752314811</v>
      </c>
    </row>
    <row r="252" spans="1:8" x14ac:dyDescent="0.25">
      <c r="A252">
        <v>497</v>
      </c>
      <c r="B252" s="1">
        <v>44806</v>
      </c>
      <c r="C252" s="27">
        <v>16147600</v>
      </c>
      <c r="D252" s="27" t="s">
        <v>15</v>
      </c>
      <c r="E252" s="27" t="s">
        <v>448</v>
      </c>
      <c r="F252" s="27" t="s">
        <v>28</v>
      </c>
      <c r="G252" s="27" t="s">
        <v>29</v>
      </c>
      <c r="H252" s="25">
        <v>44805.564212962963</v>
      </c>
    </row>
    <row r="253" spans="1:8" x14ac:dyDescent="0.25">
      <c r="A253">
        <v>496</v>
      </c>
      <c r="B253" s="1">
        <v>44806</v>
      </c>
      <c r="C253" s="27">
        <v>16146218</v>
      </c>
      <c r="D253" s="27" t="s">
        <v>11</v>
      </c>
      <c r="E253" s="27" t="s">
        <v>424</v>
      </c>
      <c r="F253" s="27" t="s">
        <v>28</v>
      </c>
      <c r="G253" s="27" t="s">
        <v>29</v>
      </c>
      <c r="H253" s="25">
        <v>44805.369375000002</v>
      </c>
    </row>
    <row r="254" spans="1:8" x14ac:dyDescent="0.25">
      <c r="A254">
        <v>499</v>
      </c>
      <c r="B254" s="1">
        <v>44806</v>
      </c>
      <c r="C254" s="27">
        <v>16147738</v>
      </c>
      <c r="D254" s="27" t="s">
        <v>11</v>
      </c>
      <c r="E254" s="27" t="s">
        <v>405</v>
      </c>
      <c r="F254" s="27" t="s">
        <v>28</v>
      </c>
      <c r="G254" s="27" t="s">
        <v>29</v>
      </c>
      <c r="H254" s="25">
        <v>44805.575833333336</v>
      </c>
    </row>
    <row r="255" spans="1:8" x14ac:dyDescent="0.25">
      <c r="A255">
        <v>498</v>
      </c>
      <c r="B255" s="1">
        <v>44806</v>
      </c>
      <c r="C255" s="27">
        <v>16147756</v>
      </c>
      <c r="D255" s="27" t="s">
        <v>11</v>
      </c>
      <c r="E255" s="27" t="s">
        <v>445</v>
      </c>
      <c r="F255" s="27" t="s">
        <v>24</v>
      </c>
      <c r="G255" s="27" t="s">
        <v>29</v>
      </c>
      <c r="H255" s="25">
        <v>44805.577881944446</v>
      </c>
    </row>
    <row r="256" spans="1:8" x14ac:dyDescent="0.25">
      <c r="A256">
        <v>709</v>
      </c>
      <c r="B256" s="1">
        <v>44806</v>
      </c>
      <c r="C256" s="27">
        <v>16148135</v>
      </c>
      <c r="D256" s="27" t="s">
        <v>19</v>
      </c>
      <c r="E256" s="27" t="s">
        <v>186</v>
      </c>
      <c r="F256" s="27" t="s">
        <v>10</v>
      </c>
      <c r="G256" s="27" t="s">
        <v>20</v>
      </c>
      <c r="H256" s="25">
        <v>44805.602696759262</v>
      </c>
    </row>
    <row r="257" spans="1:8" x14ac:dyDescent="0.25">
      <c r="A257">
        <v>500</v>
      </c>
      <c r="B257" s="1">
        <v>44806</v>
      </c>
      <c r="C257" s="27">
        <v>16147721</v>
      </c>
      <c r="D257" s="27" t="s">
        <v>11</v>
      </c>
      <c r="E257" s="27" t="s">
        <v>449</v>
      </c>
      <c r="F257" s="27" t="s">
        <v>28</v>
      </c>
      <c r="G257" s="27" t="s">
        <v>29</v>
      </c>
      <c r="H257" s="25">
        <v>44805.574803240743</v>
      </c>
    </row>
    <row r="258" spans="1:8" x14ac:dyDescent="0.25">
      <c r="A258">
        <v>494</v>
      </c>
      <c r="B258" s="1">
        <v>44806</v>
      </c>
      <c r="C258" s="27">
        <v>16146297</v>
      </c>
      <c r="D258" s="27" t="s">
        <v>11</v>
      </c>
      <c r="E258" s="27" t="s">
        <v>436</v>
      </c>
      <c r="F258" s="27" t="s">
        <v>28</v>
      </c>
      <c r="G258" s="27" t="s">
        <v>29</v>
      </c>
      <c r="H258" s="25">
        <v>44805.374513888892</v>
      </c>
    </row>
    <row r="259" spans="1:8" x14ac:dyDescent="0.25">
      <c r="A259">
        <v>289</v>
      </c>
      <c r="B259" s="1">
        <v>44806</v>
      </c>
      <c r="C259" s="27">
        <v>16146099</v>
      </c>
      <c r="D259" s="27" t="s">
        <v>7</v>
      </c>
      <c r="E259" s="27" t="s">
        <v>205</v>
      </c>
      <c r="F259" s="27" t="s">
        <v>10</v>
      </c>
      <c r="G259" s="27" t="s">
        <v>30</v>
      </c>
      <c r="H259" s="25">
        <v>44803.464479166665</v>
      </c>
    </row>
    <row r="260" spans="1:8" x14ac:dyDescent="0.25">
      <c r="A260">
        <v>288</v>
      </c>
      <c r="B260" s="1">
        <v>44806</v>
      </c>
      <c r="C260" s="27">
        <v>16136656</v>
      </c>
      <c r="D260" s="27" t="s">
        <v>7</v>
      </c>
      <c r="E260" s="27" t="s">
        <v>204</v>
      </c>
      <c r="F260" s="27" t="s">
        <v>18</v>
      </c>
      <c r="G260" s="27" t="s">
        <v>30</v>
      </c>
      <c r="H260" s="25">
        <v>44803.463726851849</v>
      </c>
    </row>
    <row r="261" spans="1:8" x14ac:dyDescent="0.25">
      <c r="A261">
        <v>710</v>
      </c>
      <c r="B261" s="1">
        <v>44806</v>
      </c>
      <c r="C261" s="27">
        <v>16149071</v>
      </c>
      <c r="D261" s="27" t="s">
        <v>22</v>
      </c>
      <c r="E261" s="27" t="s">
        <v>487</v>
      </c>
      <c r="F261" s="27" t="s">
        <v>10</v>
      </c>
      <c r="G261" s="27" t="s">
        <v>20</v>
      </c>
      <c r="H261" s="25">
        <v>44805.686215277776</v>
      </c>
    </row>
    <row r="262" spans="1:8" x14ac:dyDescent="0.25">
      <c r="A262">
        <v>292</v>
      </c>
      <c r="B262" s="1">
        <v>44806</v>
      </c>
      <c r="C262" s="27">
        <v>16143473</v>
      </c>
      <c r="D262" s="27" t="s">
        <v>7</v>
      </c>
      <c r="E262" s="27" t="s">
        <v>208</v>
      </c>
      <c r="F262" s="27" t="s">
        <v>18</v>
      </c>
      <c r="G262" s="27" t="s">
        <v>30</v>
      </c>
      <c r="H262" s="25">
        <v>44804.622719907406</v>
      </c>
    </row>
    <row r="263" spans="1:8" x14ac:dyDescent="0.25">
      <c r="A263">
        <v>291</v>
      </c>
      <c r="B263" s="1">
        <v>44806</v>
      </c>
      <c r="C263" s="27">
        <v>16126009</v>
      </c>
      <c r="D263" s="27" t="s">
        <v>7</v>
      </c>
      <c r="E263" s="27" t="s">
        <v>207</v>
      </c>
      <c r="F263" s="27" t="s">
        <v>18</v>
      </c>
      <c r="G263" s="27" t="s">
        <v>30</v>
      </c>
      <c r="H263" s="25">
        <v>44799.645046296297</v>
      </c>
    </row>
    <row r="264" spans="1:8" x14ac:dyDescent="0.25">
      <c r="A264">
        <v>290</v>
      </c>
      <c r="B264" s="1">
        <v>44806</v>
      </c>
      <c r="C264" s="27">
        <v>16126188</v>
      </c>
      <c r="D264" s="27" t="s">
        <v>7</v>
      </c>
      <c r="E264" s="27" t="s">
        <v>206</v>
      </c>
      <c r="F264" s="27" t="s">
        <v>18</v>
      </c>
      <c r="G264" s="27" t="s">
        <v>30</v>
      </c>
      <c r="H264" s="25">
        <v>44799.648958333331</v>
      </c>
    </row>
    <row r="265" spans="1:8" x14ac:dyDescent="0.25">
      <c r="A265">
        <v>487</v>
      </c>
      <c r="B265" s="1">
        <v>44806</v>
      </c>
      <c r="C265" s="27">
        <v>16148499</v>
      </c>
      <c r="D265" s="27" t="s">
        <v>7</v>
      </c>
      <c r="E265" s="27" t="s">
        <v>430</v>
      </c>
      <c r="F265" s="27" t="s">
        <v>24</v>
      </c>
      <c r="G265" s="27" t="s">
        <v>29</v>
      </c>
      <c r="H265" s="25">
        <v>44805.631493055553</v>
      </c>
    </row>
    <row r="266" spans="1:8" x14ac:dyDescent="0.25">
      <c r="A266">
        <v>491</v>
      </c>
      <c r="B266" s="1">
        <v>44806</v>
      </c>
      <c r="C266" s="27">
        <v>16153675</v>
      </c>
      <c r="D266" s="27" t="s">
        <v>7</v>
      </c>
      <c r="E266" s="27" t="s">
        <v>556</v>
      </c>
      <c r="F266" s="27" t="s">
        <v>24</v>
      </c>
      <c r="G266" s="27" t="s">
        <v>29</v>
      </c>
      <c r="H266" s="25">
        <v>44806.593368055554</v>
      </c>
    </row>
    <row r="267" spans="1:8" x14ac:dyDescent="0.25">
      <c r="A267">
        <v>492</v>
      </c>
      <c r="B267" s="1">
        <v>44806</v>
      </c>
      <c r="C267" s="27">
        <v>16153444</v>
      </c>
      <c r="D267" s="27" t="s">
        <v>15</v>
      </c>
      <c r="E267" s="27" t="s">
        <v>557</v>
      </c>
      <c r="F267" s="27" t="s">
        <v>24</v>
      </c>
      <c r="G267" s="27" t="s">
        <v>29</v>
      </c>
      <c r="H267" s="25">
        <v>44806.578356481485</v>
      </c>
    </row>
    <row r="268" spans="1:8" x14ac:dyDescent="0.25">
      <c r="A268">
        <v>493</v>
      </c>
      <c r="B268" s="1">
        <v>44806</v>
      </c>
      <c r="C268" s="27">
        <v>16152953</v>
      </c>
      <c r="D268" s="27" t="s">
        <v>15</v>
      </c>
      <c r="E268" s="27" t="s">
        <v>558</v>
      </c>
      <c r="F268" s="27" t="s">
        <v>24</v>
      </c>
      <c r="G268" s="27" t="s">
        <v>29</v>
      </c>
      <c r="H268" s="25">
        <v>44806.545393518521</v>
      </c>
    </row>
    <row r="269" spans="1:8" x14ac:dyDescent="0.25">
      <c r="A269">
        <v>488</v>
      </c>
      <c r="B269" s="1">
        <v>44806</v>
      </c>
      <c r="C269" s="27">
        <v>16148267</v>
      </c>
      <c r="D269" s="27" t="s">
        <v>14</v>
      </c>
      <c r="E269" s="27" t="s">
        <v>446</v>
      </c>
      <c r="F269" s="27" t="s">
        <v>24</v>
      </c>
      <c r="G269" s="27" t="s">
        <v>29</v>
      </c>
      <c r="H269" s="25">
        <v>44805.614768518521</v>
      </c>
    </row>
    <row r="270" spans="1:8" x14ac:dyDescent="0.25">
      <c r="A270">
        <v>489</v>
      </c>
      <c r="B270" s="1">
        <v>44806</v>
      </c>
      <c r="C270" s="27">
        <v>16148166</v>
      </c>
      <c r="D270" s="27" t="s">
        <v>14</v>
      </c>
      <c r="E270" s="27" t="s">
        <v>416</v>
      </c>
      <c r="F270" s="27" t="s">
        <v>28</v>
      </c>
      <c r="G270" s="27" t="s">
        <v>29</v>
      </c>
      <c r="H270" s="25">
        <v>44805.613449074073</v>
      </c>
    </row>
    <row r="271" spans="1:8" x14ac:dyDescent="0.25">
      <c r="A271">
        <v>490</v>
      </c>
      <c r="B271" s="1">
        <v>44806</v>
      </c>
      <c r="C271" s="27">
        <v>16150626</v>
      </c>
      <c r="D271" s="27" t="s">
        <v>12</v>
      </c>
      <c r="E271" s="27" t="s">
        <v>555</v>
      </c>
      <c r="F271" s="27" t="s">
        <v>28</v>
      </c>
      <c r="G271" s="27" t="s">
        <v>29</v>
      </c>
      <c r="H271" s="25">
        <v>44806.33792824074</v>
      </c>
    </row>
    <row r="272" spans="1:8" x14ac:dyDescent="0.25">
      <c r="A272">
        <v>696</v>
      </c>
      <c r="B272" s="1">
        <v>44806</v>
      </c>
      <c r="C272" s="27">
        <v>16147569</v>
      </c>
      <c r="D272" s="27" t="s">
        <v>22</v>
      </c>
      <c r="E272" s="27" t="s">
        <v>195</v>
      </c>
      <c r="F272" s="27" t="s">
        <v>10</v>
      </c>
      <c r="G272" s="27" t="s">
        <v>20</v>
      </c>
      <c r="H272" s="25">
        <v>44805.561886574076</v>
      </c>
    </row>
    <row r="273" spans="1:8" x14ac:dyDescent="0.25">
      <c r="A273">
        <v>697</v>
      </c>
      <c r="B273" s="1">
        <v>44806</v>
      </c>
      <c r="C273" s="27">
        <v>16147621</v>
      </c>
      <c r="D273" s="27" t="s">
        <v>22</v>
      </c>
      <c r="E273" s="27" t="s">
        <v>196</v>
      </c>
      <c r="F273" s="27" t="s">
        <v>10</v>
      </c>
      <c r="G273" s="27" t="s">
        <v>20</v>
      </c>
      <c r="H273" s="25">
        <v>44805.567847222221</v>
      </c>
    </row>
    <row r="274" spans="1:8" x14ac:dyDescent="0.25">
      <c r="A274">
        <v>694</v>
      </c>
      <c r="B274" s="1">
        <v>44806</v>
      </c>
      <c r="C274" s="27">
        <v>16146324</v>
      </c>
      <c r="D274" s="27" t="s">
        <v>27</v>
      </c>
      <c r="E274" s="27" t="s">
        <v>193</v>
      </c>
      <c r="F274" s="27" t="s">
        <v>17</v>
      </c>
      <c r="G274" s="27" t="s">
        <v>20</v>
      </c>
      <c r="H274" s="25">
        <v>44805.376307870371</v>
      </c>
    </row>
    <row r="275" spans="1:8" x14ac:dyDescent="0.25">
      <c r="A275">
        <v>716</v>
      </c>
      <c r="B275" s="1">
        <v>44806</v>
      </c>
      <c r="C275" s="27">
        <v>16152158</v>
      </c>
      <c r="D275" s="27" t="s">
        <v>19</v>
      </c>
      <c r="E275" s="27" t="s">
        <v>492</v>
      </c>
      <c r="F275" s="27" t="s">
        <v>10</v>
      </c>
      <c r="G275" s="27" t="s">
        <v>20</v>
      </c>
      <c r="H275" s="25">
        <v>44806.451493055552</v>
      </c>
    </row>
    <row r="276" spans="1:8" x14ac:dyDescent="0.25">
      <c r="A276">
        <v>693</v>
      </c>
      <c r="B276" s="1">
        <v>44806</v>
      </c>
      <c r="C276" s="27">
        <v>16146290</v>
      </c>
      <c r="D276" s="27" t="s">
        <v>19</v>
      </c>
      <c r="E276" s="27" t="s">
        <v>192</v>
      </c>
      <c r="F276" s="27" t="s">
        <v>10</v>
      </c>
      <c r="G276" s="27" t="s">
        <v>20</v>
      </c>
      <c r="H276" s="25">
        <v>44805.374606481484</v>
      </c>
    </row>
    <row r="277" spans="1:8" x14ac:dyDescent="0.25">
      <c r="A277">
        <v>701</v>
      </c>
      <c r="B277" s="1">
        <v>44806</v>
      </c>
      <c r="C277" s="27">
        <v>16147685</v>
      </c>
      <c r="D277" s="27" t="s">
        <v>26</v>
      </c>
      <c r="E277" s="27" t="s">
        <v>197</v>
      </c>
      <c r="F277" s="27" t="s">
        <v>18</v>
      </c>
      <c r="G277" s="27" t="s">
        <v>20</v>
      </c>
      <c r="H277" s="25">
        <v>44805.573518518519</v>
      </c>
    </row>
    <row r="278" spans="1:8" x14ac:dyDescent="0.25">
      <c r="A278">
        <v>702</v>
      </c>
      <c r="B278" s="1">
        <v>44806</v>
      </c>
      <c r="C278" s="27">
        <v>16147685</v>
      </c>
      <c r="D278" s="27" t="s">
        <v>26</v>
      </c>
      <c r="E278" s="27" t="s">
        <v>203</v>
      </c>
      <c r="F278" s="27" t="s">
        <v>10</v>
      </c>
      <c r="G278" s="27" t="s">
        <v>20</v>
      </c>
      <c r="H278" s="25">
        <v>44805.63208333333</v>
      </c>
    </row>
    <row r="279" spans="1:8" x14ac:dyDescent="0.25">
      <c r="A279">
        <v>700</v>
      </c>
      <c r="B279" s="1">
        <v>44806</v>
      </c>
      <c r="C279" s="27">
        <v>16147685</v>
      </c>
      <c r="D279" s="27" t="s">
        <v>26</v>
      </c>
      <c r="E279" s="27" t="s">
        <v>197</v>
      </c>
      <c r="F279" s="27" t="s">
        <v>18</v>
      </c>
      <c r="G279" s="27" t="s">
        <v>20</v>
      </c>
      <c r="H279" s="25">
        <v>44805.573171296295</v>
      </c>
    </row>
    <row r="280" spans="1:8" x14ac:dyDescent="0.25">
      <c r="A280">
        <v>698</v>
      </c>
      <c r="B280" s="1">
        <v>44806</v>
      </c>
      <c r="C280" s="27">
        <v>16147629</v>
      </c>
      <c r="D280" s="27" t="s">
        <v>25</v>
      </c>
      <c r="E280" s="27" t="s">
        <v>181</v>
      </c>
      <c r="F280" s="27" t="s">
        <v>18</v>
      </c>
      <c r="G280" s="27" t="s">
        <v>20</v>
      </c>
      <c r="H280" s="25">
        <v>44805.571585648147</v>
      </c>
    </row>
    <row r="281" spans="1:8" x14ac:dyDescent="0.25">
      <c r="A281">
        <v>699</v>
      </c>
      <c r="B281" s="1">
        <v>44806</v>
      </c>
      <c r="C281" s="27">
        <v>16147670</v>
      </c>
      <c r="D281" s="27" t="s">
        <v>25</v>
      </c>
      <c r="E281" s="27" t="s">
        <v>53</v>
      </c>
      <c r="F281" s="27" t="s">
        <v>10</v>
      </c>
      <c r="G281" s="27" t="s">
        <v>20</v>
      </c>
      <c r="H281" s="25">
        <v>44805.571979166663</v>
      </c>
    </row>
    <row r="282" spans="1:8" x14ac:dyDescent="0.25">
      <c r="A282">
        <v>38</v>
      </c>
      <c r="B282" s="1">
        <v>44806</v>
      </c>
      <c r="C282" s="27">
        <v>16148079</v>
      </c>
      <c r="D282" s="27" t="s">
        <v>11</v>
      </c>
      <c r="E282" s="27" t="s">
        <v>486</v>
      </c>
      <c r="F282" s="27" t="s">
        <v>10</v>
      </c>
      <c r="G282" s="27" t="s">
        <v>8</v>
      </c>
      <c r="H282" s="25">
        <v>44805.59951388889</v>
      </c>
    </row>
    <row r="283" spans="1:8" x14ac:dyDescent="0.25">
      <c r="A283">
        <v>717</v>
      </c>
      <c r="B283" s="1">
        <v>44806</v>
      </c>
      <c r="C283" s="27">
        <v>16152158</v>
      </c>
      <c r="D283" s="27" t="s">
        <v>19</v>
      </c>
      <c r="E283" s="27" t="s">
        <v>497</v>
      </c>
      <c r="F283" s="27" t="s">
        <v>10</v>
      </c>
      <c r="G283" s="27" t="s">
        <v>20</v>
      </c>
      <c r="H283" s="25">
        <v>44806.557962962965</v>
      </c>
    </row>
    <row r="284" spans="1:8" x14ac:dyDescent="0.25">
      <c r="A284">
        <v>705</v>
      </c>
      <c r="B284" s="1">
        <v>44806</v>
      </c>
      <c r="C284" s="27">
        <v>16147809</v>
      </c>
      <c r="D284" s="27" t="s">
        <v>26</v>
      </c>
      <c r="E284" s="27" t="s">
        <v>201</v>
      </c>
      <c r="F284" s="27" t="s">
        <v>10</v>
      </c>
      <c r="G284" s="27" t="s">
        <v>20</v>
      </c>
      <c r="H284" s="25">
        <v>44805.581805555557</v>
      </c>
    </row>
    <row r="285" spans="1:8" x14ac:dyDescent="0.25">
      <c r="A285">
        <v>706</v>
      </c>
      <c r="B285" s="1">
        <v>44806</v>
      </c>
      <c r="C285" s="27">
        <v>16147809</v>
      </c>
      <c r="D285" s="27" t="s">
        <v>26</v>
      </c>
      <c r="E285" s="27" t="s">
        <v>201</v>
      </c>
      <c r="F285" s="27" t="s">
        <v>10</v>
      </c>
      <c r="G285" s="27" t="s">
        <v>20</v>
      </c>
      <c r="H285" s="25">
        <v>44805.582303240742</v>
      </c>
    </row>
    <row r="286" spans="1:8" x14ac:dyDescent="0.25">
      <c r="A286">
        <v>708</v>
      </c>
      <c r="B286" s="1">
        <v>44806</v>
      </c>
      <c r="C286" s="27">
        <v>16148108</v>
      </c>
      <c r="D286" s="27" t="s">
        <v>23</v>
      </c>
      <c r="E286" s="27" t="s">
        <v>202</v>
      </c>
      <c r="F286" s="27" t="s">
        <v>10</v>
      </c>
      <c r="G286" s="27" t="s">
        <v>20</v>
      </c>
      <c r="H286" s="25">
        <v>44805.601412037038</v>
      </c>
    </row>
    <row r="287" spans="1:8" x14ac:dyDescent="0.25">
      <c r="A287">
        <v>34</v>
      </c>
      <c r="B287" s="1">
        <v>44806</v>
      </c>
      <c r="C287" s="27">
        <v>16147532</v>
      </c>
      <c r="D287" s="27" t="s">
        <v>15</v>
      </c>
      <c r="E287" s="27" t="s">
        <v>484</v>
      </c>
      <c r="F287" s="27" t="s">
        <v>10</v>
      </c>
      <c r="G287" s="27" t="s">
        <v>8</v>
      </c>
      <c r="H287" s="25">
        <v>44805.55978009259</v>
      </c>
    </row>
    <row r="288" spans="1:8" x14ac:dyDescent="0.25">
      <c r="A288">
        <v>37</v>
      </c>
      <c r="B288" s="1">
        <v>44806</v>
      </c>
      <c r="C288" s="27">
        <v>16147957</v>
      </c>
      <c r="D288" s="27" t="s">
        <v>11</v>
      </c>
      <c r="E288" s="27" t="s">
        <v>485</v>
      </c>
      <c r="F288" s="27" t="s">
        <v>10</v>
      </c>
      <c r="G288" s="27" t="s">
        <v>8</v>
      </c>
      <c r="H288" s="25">
        <v>44805.591331018521</v>
      </c>
    </row>
    <row r="289" spans="1:8" x14ac:dyDescent="0.25">
      <c r="A289">
        <v>689</v>
      </c>
      <c r="B289" s="1">
        <v>44806</v>
      </c>
      <c r="C289" s="27">
        <v>16145604</v>
      </c>
      <c r="D289" s="27" t="s">
        <v>19</v>
      </c>
      <c r="E289" s="27" t="s">
        <v>189</v>
      </c>
      <c r="F289" s="27" t="s">
        <v>10</v>
      </c>
      <c r="G289" s="27" t="s">
        <v>20</v>
      </c>
      <c r="H289" s="25">
        <v>44805.331805555557</v>
      </c>
    </row>
    <row r="290" spans="1:8" x14ac:dyDescent="0.25">
      <c r="A290">
        <v>36</v>
      </c>
      <c r="B290" s="1">
        <v>44806</v>
      </c>
      <c r="C290" s="27">
        <v>16147943</v>
      </c>
      <c r="D290" s="27" t="s">
        <v>11</v>
      </c>
      <c r="E290" s="27" t="s">
        <v>481</v>
      </c>
      <c r="F290" s="27" t="s">
        <v>10</v>
      </c>
      <c r="G290" s="27" t="s">
        <v>8</v>
      </c>
      <c r="H290" s="25">
        <v>44805.59033564815</v>
      </c>
    </row>
    <row r="291" spans="1:8" x14ac:dyDescent="0.25">
      <c r="A291">
        <v>704</v>
      </c>
      <c r="B291" s="1">
        <v>44806</v>
      </c>
      <c r="C291" s="27">
        <v>16147771</v>
      </c>
      <c r="D291" s="27" t="s">
        <v>25</v>
      </c>
      <c r="E291" s="27" t="s">
        <v>199</v>
      </c>
      <c r="F291" s="27" t="s">
        <v>10</v>
      </c>
      <c r="G291" s="27" t="s">
        <v>20</v>
      </c>
      <c r="H291" s="25">
        <v>44805.578657407408</v>
      </c>
    </row>
    <row r="292" spans="1:8" x14ac:dyDescent="0.25">
      <c r="A292">
        <v>35</v>
      </c>
      <c r="B292" s="1">
        <v>44806</v>
      </c>
      <c r="C292" s="27">
        <v>16147525</v>
      </c>
      <c r="D292" s="27" t="s">
        <v>11</v>
      </c>
      <c r="E292" s="27" t="s">
        <v>463</v>
      </c>
      <c r="F292" s="27" t="s">
        <v>10</v>
      </c>
      <c r="G292" s="27" t="s">
        <v>8</v>
      </c>
      <c r="H292" s="25">
        <v>44805.562418981484</v>
      </c>
    </row>
    <row r="293" spans="1:8" x14ac:dyDescent="0.25">
      <c r="A293">
        <v>293</v>
      </c>
      <c r="B293" s="1">
        <v>44806</v>
      </c>
      <c r="C293" s="27">
        <v>16143509</v>
      </c>
      <c r="D293" s="27" t="s">
        <v>7</v>
      </c>
      <c r="E293" s="27" t="s">
        <v>209</v>
      </c>
      <c r="F293" s="27" t="s">
        <v>18</v>
      </c>
      <c r="G293" s="27" t="s">
        <v>30</v>
      </c>
      <c r="H293" s="25">
        <v>44804.625902777778</v>
      </c>
    </row>
    <row r="294" spans="1:8" x14ac:dyDescent="0.25">
      <c r="A294">
        <v>115</v>
      </c>
      <c r="B294" s="1">
        <v>44806</v>
      </c>
      <c r="C294" s="27">
        <v>16152167</v>
      </c>
      <c r="D294" s="27" t="s">
        <v>14</v>
      </c>
      <c r="E294" s="27" t="s">
        <v>552</v>
      </c>
      <c r="F294" s="27"/>
      <c r="G294" s="27" t="s">
        <v>33</v>
      </c>
      <c r="H294" s="25">
        <v>44806.451620370368</v>
      </c>
    </row>
    <row r="295" spans="1:8" x14ac:dyDescent="0.25">
      <c r="A295">
        <v>186</v>
      </c>
      <c r="B295" s="1">
        <v>44806</v>
      </c>
      <c r="C295" s="27">
        <v>16147624</v>
      </c>
      <c r="D295" s="27" t="s">
        <v>12</v>
      </c>
      <c r="E295" s="27" t="s">
        <v>326</v>
      </c>
      <c r="F295" s="27" t="s">
        <v>10</v>
      </c>
      <c r="G295" s="27" t="s">
        <v>32</v>
      </c>
      <c r="H295" s="25">
        <v>44805.567164351851</v>
      </c>
    </row>
    <row r="296" spans="1:8" x14ac:dyDescent="0.25">
      <c r="A296">
        <v>113</v>
      </c>
      <c r="B296" s="1">
        <v>44806</v>
      </c>
      <c r="C296" s="27">
        <v>16147678</v>
      </c>
      <c r="D296" s="27" t="s">
        <v>15</v>
      </c>
      <c r="E296" s="27" t="s">
        <v>330</v>
      </c>
      <c r="F296" s="27" t="s">
        <v>10</v>
      </c>
      <c r="G296" s="27" t="s">
        <v>33</v>
      </c>
      <c r="H296" s="25">
        <v>44805.636192129627</v>
      </c>
    </row>
    <row r="297" spans="1:8" x14ac:dyDescent="0.25">
      <c r="A297">
        <v>114</v>
      </c>
      <c r="B297" s="1">
        <v>44806</v>
      </c>
      <c r="C297" s="27">
        <v>16148815</v>
      </c>
      <c r="D297" s="27" t="s">
        <v>12</v>
      </c>
      <c r="E297" s="27" t="s">
        <v>368</v>
      </c>
      <c r="F297" s="27" t="s">
        <v>10</v>
      </c>
      <c r="G297" s="27" t="s">
        <v>33</v>
      </c>
      <c r="H297" s="25">
        <v>44805.659155092595</v>
      </c>
    </row>
    <row r="298" spans="1:8" x14ac:dyDescent="0.25">
      <c r="A298">
        <v>183</v>
      </c>
      <c r="B298" s="1">
        <v>44806</v>
      </c>
      <c r="C298" s="27">
        <v>16153478</v>
      </c>
      <c r="D298" s="27" t="s">
        <v>15</v>
      </c>
      <c r="E298" s="27" t="s">
        <v>582</v>
      </c>
      <c r="F298" s="27" t="s">
        <v>10</v>
      </c>
      <c r="G298" s="27" t="s">
        <v>32</v>
      </c>
      <c r="H298" s="25">
        <v>44806.579780092594</v>
      </c>
    </row>
    <row r="299" spans="1:8" x14ac:dyDescent="0.25">
      <c r="A299">
        <v>51</v>
      </c>
      <c r="B299" s="1">
        <v>44806</v>
      </c>
      <c r="C299" s="27">
        <v>16125694</v>
      </c>
      <c r="D299" s="27" t="s">
        <v>15</v>
      </c>
      <c r="E299" s="27" t="s">
        <v>491</v>
      </c>
      <c r="F299" s="27" t="s">
        <v>10</v>
      </c>
      <c r="G299" s="27" t="s">
        <v>8</v>
      </c>
      <c r="H299" s="25">
        <v>44806.599722222221</v>
      </c>
    </row>
    <row r="300" spans="1:8" x14ac:dyDescent="0.25">
      <c r="A300">
        <v>185</v>
      </c>
      <c r="B300" s="1">
        <v>44806</v>
      </c>
      <c r="C300" s="27">
        <v>16149225</v>
      </c>
      <c r="D300" s="27" t="s">
        <v>7</v>
      </c>
      <c r="E300" s="27" t="s">
        <v>584</v>
      </c>
      <c r="F300" s="27" t="s">
        <v>10</v>
      </c>
      <c r="G300" s="27" t="s">
        <v>32</v>
      </c>
      <c r="H300" s="25">
        <v>44805.705717592595</v>
      </c>
    </row>
    <row r="301" spans="1:8" x14ac:dyDescent="0.25">
      <c r="A301">
        <v>111</v>
      </c>
      <c r="B301" s="1">
        <v>44806</v>
      </c>
      <c r="C301" s="27">
        <v>16125864</v>
      </c>
      <c r="D301" s="27" t="s">
        <v>7</v>
      </c>
      <c r="E301" s="27" t="s">
        <v>328</v>
      </c>
      <c r="F301" s="27" t="s">
        <v>18</v>
      </c>
      <c r="G301" s="27" t="s">
        <v>33</v>
      </c>
      <c r="H301" s="25">
        <v>44799.630520833336</v>
      </c>
    </row>
    <row r="302" spans="1:8" x14ac:dyDescent="0.25">
      <c r="A302">
        <v>641</v>
      </c>
      <c r="B302" s="1">
        <v>44806</v>
      </c>
      <c r="C302" s="27">
        <v>16125812</v>
      </c>
      <c r="D302" s="27" t="s">
        <v>22</v>
      </c>
      <c r="E302" s="27" t="s">
        <v>149</v>
      </c>
      <c r="F302" s="27" t="s">
        <v>10</v>
      </c>
      <c r="G302" s="27" t="s">
        <v>20</v>
      </c>
      <c r="H302" s="25">
        <v>44799.639641203707</v>
      </c>
    </row>
    <row r="303" spans="1:8" x14ac:dyDescent="0.25">
      <c r="A303">
        <v>640</v>
      </c>
      <c r="B303" s="1">
        <v>44806</v>
      </c>
      <c r="C303" s="27">
        <v>16125784</v>
      </c>
      <c r="D303" s="27" t="s">
        <v>22</v>
      </c>
      <c r="E303" s="27" t="s">
        <v>150</v>
      </c>
      <c r="F303" s="27" t="s">
        <v>17</v>
      </c>
      <c r="G303" s="27" t="s">
        <v>20</v>
      </c>
      <c r="H303" s="25">
        <v>44799.640150462961</v>
      </c>
    </row>
    <row r="304" spans="1:8" x14ac:dyDescent="0.25">
      <c r="A304">
        <v>110</v>
      </c>
      <c r="B304" s="1">
        <v>44806</v>
      </c>
      <c r="C304" s="27">
        <v>16125026</v>
      </c>
      <c r="D304" s="27" t="s">
        <v>12</v>
      </c>
      <c r="E304" s="27" t="s">
        <v>327</v>
      </c>
      <c r="F304" s="27" t="s">
        <v>18</v>
      </c>
      <c r="G304" s="27" t="s">
        <v>33</v>
      </c>
      <c r="H304" s="25">
        <v>44799.5940162037</v>
      </c>
    </row>
    <row r="305" spans="1:8" x14ac:dyDescent="0.25">
      <c r="A305">
        <v>719</v>
      </c>
      <c r="B305" s="1">
        <v>44806</v>
      </c>
      <c r="C305" s="27">
        <v>16152625</v>
      </c>
      <c r="D305" s="27" t="s">
        <v>23</v>
      </c>
      <c r="E305" s="27" t="s">
        <v>493</v>
      </c>
      <c r="F305" s="27" t="s">
        <v>10</v>
      </c>
      <c r="G305" s="27" t="s">
        <v>20</v>
      </c>
      <c r="H305" s="25">
        <v>44806.503067129626</v>
      </c>
    </row>
    <row r="306" spans="1:8" x14ac:dyDescent="0.25">
      <c r="A306">
        <v>711</v>
      </c>
      <c r="B306" s="1">
        <v>44806</v>
      </c>
      <c r="C306" s="27">
        <v>16151295</v>
      </c>
      <c r="D306" s="27" t="s">
        <v>25</v>
      </c>
      <c r="E306" s="27" t="s">
        <v>181</v>
      </c>
      <c r="F306" s="27" t="s">
        <v>10</v>
      </c>
      <c r="G306" s="27" t="s">
        <v>20</v>
      </c>
      <c r="H306" s="25">
        <v>44806.379236111112</v>
      </c>
    </row>
    <row r="307" spans="1:8" x14ac:dyDescent="0.25">
      <c r="A307">
        <v>112</v>
      </c>
      <c r="B307" s="1">
        <v>44806</v>
      </c>
      <c r="C307" s="27">
        <v>16147993</v>
      </c>
      <c r="D307" s="27" t="s">
        <v>12</v>
      </c>
      <c r="E307" s="27" t="s">
        <v>329</v>
      </c>
      <c r="F307" s="27" t="s">
        <v>10</v>
      </c>
      <c r="G307" s="27" t="s">
        <v>33</v>
      </c>
      <c r="H307" s="25">
        <v>44805.596620370372</v>
      </c>
    </row>
    <row r="308" spans="1:8" x14ac:dyDescent="0.25">
      <c r="A308">
        <v>639</v>
      </c>
      <c r="B308" s="1">
        <v>44806</v>
      </c>
      <c r="C308" s="27">
        <v>16125694</v>
      </c>
      <c r="D308" s="27" t="s">
        <v>22</v>
      </c>
      <c r="E308" s="27" t="s">
        <v>491</v>
      </c>
      <c r="F308" s="27" t="s">
        <v>18</v>
      </c>
      <c r="G308" s="27" t="s">
        <v>20</v>
      </c>
      <c r="H308" s="25">
        <v>44806.405636574076</v>
      </c>
    </row>
    <row r="309" spans="1:8" x14ac:dyDescent="0.25">
      <c r="A309">
        <v>638</v>
      </c>
      <c r="B309" s="1">
        <v>44806</v>
      </c>
      <c r="C309" s="27">
        <v>16125456</v>
      </c>
      <c r="D309" s="27" t="s">
        <v>22</v>
      </c>
      <c r="E309" s="27" t="s">
        <v>148</v>
      </c>
      <c r="F309" s="27" t="s">
        <v>10</v>
      </c>
      <c r="G309" s="27" t="s">
        <v>20</v>
      </c>
      <c r="H309" s="25">
        <v>44799.616990740738</v>
      </c>
    </row>
    <row r="310" spans="1:8" x14ac:dyDescent="0.25">
      <c r="A310">
        <v>302</v>
      </c>
      <c r="B310" s="1">
        <v>44806</v>
      </c>
      <c r="C310" s="27">
        <v>16148820</v>
      </c>
      <c r="D310" s="27" t="s">
        <v>14</v>
      </c>
      <c r="E310" s="27" t="s">
        <v>291</v>
      </c>
      <c r="F310" s="27" t="s">
        <v>10</v>
      </c>
      <c r="G310" s="27" t="s">
        <v>30</v>
      </c>
      <c r="H310" s="25">
        <v>44805.659039351849</v>
      </c>
    </row>
    <row r="311" spans="1:8" x14ac:dyDescent="0.25">
      <c r="A311">
        <v>301</v>
      </c>
      <c r="B311" s="1">
        <v>44806</v>
      </c>
      <c r="C311" s="27">
        <v>16148742</v>
      </c>
      <c r="D311" s="27" t="s">
        <v>11</v>
      </c>
      <c r="E311" s="27" t="s">
        <v>290</v>
      </c>
      <c r="F311" s="27"/>
      <c r="G311" s="27" t="s">
        <v>30</v>
      </c>
      <c r="H311" s="25">
        <v>44805.652638888889</v>
      </c>
    </row>
    <row r="312" spans="1:8" x14ac:dyDescent="0.25">
      <c r="A312">
        <v>304</v>
      </c>
      <c r="B312" s="1">
        <v>44806</v>
      </c>
      <c r="C312" s="27">
        <v>16152030</v>
      </c>
      <c r="D312" s="27" t="s">
        <v>14</v>
      </c>
      <c r="E312" s="27" t="s">
        <v>519</v>
      </c>
      <c r="F312" s="27"/>
      <c r="G312" s="27" t="s">
        <v>30</v>
      </c>
      <c r="H312" s="25">
        <v>44806.437650462962</v>
      </c>
    </row>
    <row r="313" spans="1:8" x14ac:dyDescent="0.25">
      <c r="A313">
        <v>303</v>
      </c>
      <c r="B313" s="1">
        <v>44806</v>
      </c>
      <c r="C313" s="27">
        <v>16151817</v>
      </c>
      <c r="D313" s="27" t="s">
        <v>14</v>
      </c>
      <c r="E313" s="27" t="s">
        <v>523</v>
      </c>
      <c r="F313" s="27"/>
      <c r="G313" s="27" t="s">
        <v>30</v>
      </c>
      <c r="H313" s="25">
        <v>44806.418865740743</v>
      </c>
    </row>
    <row r="314" spans="1:8" x14ac:dyDescent="0.25">
      <c r="A314">
        <v>297</v>
      </c>
      <c r="B314" s="1">
        <v>44806</v>
      </c>
      <c r="C314" s="27">
        <v>16147622</v>
      </c>
      <c r="D314" s="27" t="s">
        <v>14</v>
      </c>
      <c r="E314" s="27" t="s">
        <v>210</v>
      </c>
      <c r="F314" s="27" t="s">
        <v>10</v>
      </c>
      <c r="G314" s="27" t="s">
        <v>30</v>
      </c>
      <c r="H314" s="25">
        <v>44805.566678240742</v>
      </c>
    </row>
    <row r="315" spans="1:8" x14ac:dyDescent="0.25">
      <c r="A315">
        <v>296</v>
      </c>
      <c r="B315" s="1">
        <v>44806</v>
      </c>
      <c r="C315" s="27">
        <v>16150811</v>
      </c>
      <c r="D315" s="27" t="s">
        <v>7</v>
      </c>
      <c r="E315" s="27" t="s">
        <v>521</v>
      </c>
      <c r="F315" s="27" t="s">
        <v>21</v>
      </c>
      <c r="G315" s="27" t="s">
        <v>30</v>
      </c>
      <c r="H315" s="25">
        <v>44806.349340277775</v>
      </c>
    </row>
    <row r="316" spans="1:8" x14ac:dyDescent="0.25">
      <c r="A316">
        <v>300</v>
      </c>
      <c r="B316" s="1">
        <v>44806</v>
      </c>
      <c r="C316" s="27">
        <v>16148533</v>
      </c>
      <c r="D316" s="27" t="s">
        <v>11</v>
      </c>
      <c r="E316" s="27" t="s">
        <v>289</v>
      </c>
      <c r="F316" s="27"/>
      <c r="G316" s="27" t="s">
        <v>30</v>
      </c>
      <c r="H316" s="25">
        <v>44805.634386574071</v>
      </c>
    </row>
    <row r="317" spans="1:8" x14ac:dyDescent="0.25">
      <c r="A317">
        <v>298</v>
      </c>
      <c r="B317" s="1">
        <v>44806</v>
      </c>
      <c r="C317" s="27">
        <v>16152235</v>
      </c>
      <c r="D317" s="27" t="s">
        <v>7</v>
      </c>
      <c r="E317" s="27" t="s">
        <v>522</v>
      </c>
      <c r="F317" s="27" t="s">
        <v>10</v>
      </c>
      <c r="G317" s="27" t="s">
        <v>30</v>
      </c>
      <c r="H317" s="25">
        <v>44806.46166666667</v>
      </c>
    </row>
    <row r="318" spans="1:8" x14ac:dyDescent="0.25">
      <c r="A318">
        <v>295</v>
      </c>
      <c r="B318" s="1">
        <v>44806</v>
      </c>
      <c r="C318" s="27">
        <v>16147828</v>
      </c>
      <c r="D318" s="27" t="s">
        <v>15</v>
      </c>
      <c r="E318" s="27" t="s">
        <v>216</v>
      </c>
      <c r="F318" s="27" t="s">
        <v>10</v>
      </c>
      <c r="G318" s="27" t="s">
        <v>30</v>
      </c>
      <c r="H318" s="25">
        <v>44805.582812499997</v>
      </c>
    </row>
    <row r="319" spans="1:8" x14ac:dyDescent="0.25">
      <c r="A319">
        <v>294</v>
      </c>
      <c r="B319" s="1">
        <v>44806</v>
      </c>
      <c r="C319" s="27">
        <v>16147813</v>
      </c>
      <c r="D319" s="27" t="s">
        <v>15</v>
      </c>
      <c r="E319" s="27" t="s">
        <v>215</v>
      </c>
      <c r="F319" s="27" t="s">
        <v>10</v>
      </c>
      <c r="G319" s="27" t="s">
        <v>30</v>
      </c>
      <c r="H319" s="25">
        <v>44805.581400462965</v>
      </c>
    </row>
    <row r="320" spans="1:8" x14ac:dyDescent="0.25">
      <c r="A320">
        <v>299</v>
      </c>
      <c r="B320" s="1">
        <v>44806</v>
      </c>
      <c r="C320" s="27">
        <v>16147934</v>
      </c>
      <c r="D320" s="27" t="s">
        <v>11</v>
      </c>
      <c r="E320" s="27" t="s">
        <v>212</v>
      </c>
      <c r="F320" s="27" t="s">
        <v>10</v>
      </c>
      <c r="G320" s="27" t="s">
        <v>30</v>
      </c>
      <c r="H320" s="25">
        <v>44805.589583333334</v>
      </c>
    </row>
    <row r="321" spans="1:8" x14ac:dyDescent="0.25">
      <c r="A321">
        <v>305</v>
      </c>
      <c r="B321" s="1">
        <v>44806</v>
      </c>
      <c r="C321" s="27">
        <v>16148010</v>
      </c>
      <c r="D321" s="27" t="s">
        <v>12</v>
      </c>
      <c r="E321" s="27" t="s">
        <v>213</v>
      </c>
      <c r="F321" s="27" t="s">
        <v>10</v>
      </c>
      <c r="G321" s="27" t="s">
        <v>30</v>
      </c>
      <c r="H321" s="25">
        <v>44805.596990740742</v>
      </c>
    </row>
    <row r="322" spans="1:8" x14ac:dyDescent="0.25">
      <c r="A322">
        <v>306</v>
      </c>
      <c r="B322" s="1">
        <v>44806</v>
      </c>
      <c r="C322" s="27">
        <v>16148027</v>
      </c>
      <c r="D322" s="27" t="s">
        <v>12</v>
      </c>
      <c r="E322" s="27" t="s">
        <v>214</v>
      </c>
      <c r="F322" s="27" t="s">
        <v>10</v>
      </c>
      <c r="G322" s="27" t="s">
        <v>30</v>
      </c>
      <c r="H322" s="25">
        <v>44805.597303240742</v>
      </c>
    </row>
    <row r="323" spans="1:8" x14ac:dyDescent="0.25">
      <c r="A323">
        <v>307</v>
      </c>
      <c r="B323" s="1">
        <v>44806</v>
      </c>
      <c r="C323" s="27">
        <v>16147724</v>
      </c>
      <c r="D323" s="27" t="s">
        <v>14</v>
      </c>
      <c r="E323" s="27" t="s">
        <v>211</v>
      </c>
      <c r="F323" s="27" t="s">
        <v>10</v>
      </c>
      <c r="G323" s="27" t="s">
        <v>30</v>
      </c>
      <c r="H323" s="25">
        <v>44805.574432870373</v>
      </c>
    </row>
    <row r="324" spans="1:8" x14ac:dyDescent="0.25">
      <c r="A324">
        <v>685</v>
      </c>
      <c r="B324" s="1">
        <v>44805</v>
      </c>
      <c r="C324" s="27">
        <v>16142893</v>
      </c>
      <c r="D324" s="27" t="s">
        <v>22</v>
      </c>
      <c r="E324" s="27" t="s">
        <v>184</v>
      </c>
      <c r="F324" s="27" t="s">
        <v>10</v>
      </c>
      <c r="G324" s="27" t="s">
        <v>20</v>
      </c>
      <c r="H324" s="25">
        <v>44804.577187499999</v>
      </c>
    </row>
    <row r="325" spans="1:8" x14ac:dyDescent="0.25">
      <c r="A325">
        <v>126</v>
      </c>
      <c r="B325" s="1">
        <v>44805</v>
      </c>
      <c r="C325" s="27">
        <v>16146633</v>
      </c>
      <c r="D325" s="27" t="s">
        <v>14</v>
      </c>
      <c r="E325" s="27" t="s">
        <v>340</v>
      </c>
      <c r="F325" s="27" t="s">
        <v>10</v>
      </c>
      <c r="G325" s="27" t="s">
        <v>33</v>
      </c>
      <c r="H325" s="25">
        <v>44805.396539351852</v>
      </c>
    </row>
    <row r="326" spans="1:8" x14ac:dyDescent="0.25">
      <c r="A326">
        <v>683</v>
      </c>
      <c r="B326" s="1">
        <v>44805</v>
      </c>
      <c r="C326" s="27">
        <v>16142866</v>
      </c>
      <c r="D326" s="27" t="s">
        <v>22</v>
      </c>
      <c r="E326" s="27" t="s">
        <v>182</v>
      </c>
      <c r="F326" s="27" t="s">
        <v>10</v>
      </c>
      <c r="G326" s="27" t="s">
        <v>20</v>
      </c>
      <c r="H326" s="25">
        <v>44804.573287037034</v>
      </c>
    </row>
    <row r="327" spans="1:8" x14ac:dyDescent="0.25">
      <c r="A327">
        <v>707</v>
      </c>
      <c r="B327" s="1">
        <v>44805</v>
      </c>
      <c r="C327" s="27">
        <v>16147820</v>
      </c>
      <c r="D327" s="27" t="s">
        <v>23</v>
      </c>
      <c r="E327" s="27" t="s">
        <v>200</v>
      </c>
      <c r="F327" s="27" t="s">
        <v>10</v>
      </c>
      <c r="G327" s="27" t="s">
        <v>20</v>
      </c>
      <c r="H327" s="25">
        <v>44805.581712962965</v>
      </c>
    </row>
    <row r="328" spans="1:8" x14ac:dyDescent="0.25">
      <c r="A328">
        <v>678</v>
      </c>
      <c r="B328" s="1">
        <v>44805</v>
      </c>
      <c r="C328" s="27">
        <v>16141073</v>
      </c>
      <c r="D328" s="27" t="s">
        <v>27</v>
      </c>
      <c r="E328" s="27" t="s">
        <v>173</v>
      </c>
      <c r="F328" s="27" t="s">
        <v>10</v>
      </c>
      <c r="G328" s="27" t="s">
        <v>20</v>
      </c>
      <c r="H328" s="25">
        <v>44804.369016203702</v>
      </c>
    </row>
    <row r="329" spans="1:8" x14ac:dyDescent="0.25">
      <c r="A329">
        <v>703</v>
      </c>
      <c r="B329" s="1">
        <v>44805</v>
      </c>
      <c r="C329" s="27">
        <v>16147697</v>
      </c>
      <c r="D329" s="27" t="s">
        <v>23</v>
      </c>
      <c r="E329" s="27" t="s">
        <v>198</v>
      </c>
      <c r="F329" s="27" t="s">
        <v>10</v>
      </c>
      <c r="G329" s="27" t="s">
        <v>20</v>
      </c>
      <c r="H329" s="25">
        <v>44805.573321759257</v>
      </c>
    </row>
    <row r="330" spans="1:8" x14ac:dyDescent="0.25">
      <c r="A330">
        <v>679</v>
      </c>
      <c r="B330" s="1">
        <v>44805</v>
      </c>
      <c r="C330" s="27">
        <v>16142702</v>
      </c>
      <c r="D330" s="27" t="s">
        <v>25</v>
      </c>
      <c r="E330" s="27" t="s">
        <v>179</v>
      </c>
      <c r="F330" s="27" t="s">
        <v>17</v>
      </c>
      <c r="G330" s="27" t="s">
        <v>20</v>
      </c>
      <c r="H330" s="25">
        <v>44804.569652777776</v>
      </c>
    </row>
    <row r="331" spans="1:8" x14ac:dyDescent="0.25">
      <c r="A331">
        <v>690</v>
      </c>
      <c r="B331" s="1">
        <v>44805</v>
      </c>
      <c r="C331" s="27">
        <v>16145937</v>
      </c>
      <c r="D331" s="27" t="s">
        <v>25</v>
      </c>
      <c r="E331" s="27" t="s">
        <v>53</v>
      </c>
      <c r="F331" s="27" t="s">
        <v>17</v>
      </c>
      <c r="G331" s="27" t="s">
        <v>20</v>
      </c>
      <c r="H331" s="25">
        <v>44805.350983796299</v>
      </c>
    </row>
    <row r="332" spans="1:8" x14ac:dyDescent="0.25">
      <c r="A332">
        <v>691</v>
      </c>
      <c r="B332" s="1">
        <v>44805</v>
      </c>
      <c r="C332" s="27">
        <v>16146167</v>
      </c>
      <c r="D332" s="27" t="s">
        <v>19</v>
      </c>
      <c r="E332" s="27" t="s">
        <v>190</v>
      </c>
      <c r="F332" s="27" t="s">
        <v>17</v>
      </c>
      <c r="G332" s="27" t="s">
        <v>20</v>
      </c>
      <c r="H332" s="25">
        <v>44805.36613425926</v>
      </c>
    </row>
    <row r="333" spans="1:8" x14ac:dyDescent="0.25">
      <c r="A333">
        <v>692</v>
      </c>
      <c r="B333" s="1">
        <v>44805</v>
      </c>
      <c r="C333" s="27">
        <v>16146206</v>
      </c>
      <c r="D333" s="27" t="s">
        <v>23</v>
      </c>
      <c r="E333" s="27" t="s">
        <v>191</v>
      </c>
      <c r="F333" s="27" t="s">
        <v>17</v>
      </c>
      <c r="G333" s="27" t="s">
        <v>20</v>
      </c>
      <c r="H333" s="25">
        <v>44805.368148148147</v>
      </c>
    </row>
    <row r="334" spans="1:8" x14ac:dyDescent="0.25">
      <c r="A334">
        <v>695</v>
      </c>
      <c r="B334" s="1">
        <v>44805</v>
      </c>
      <c r="C334" s="27">
        <v>16146959</v>
      </c>
      <c r="D334" s="27" t="s">
        <v>23</v>
      </c>
      <c r="E334" s="27" t="s">
        <v>194</v>
      </c>
      <c r="F334" s="27" t="s">
        <v>10</v>
      </c>
      <c r="G334" s="27" t="s">
        <v>20</v>
      </c>
      <c r="H334" s="25">
        <v>44805.483124999999</v>
      </c>
    </row>
    <row r="335" spans="1:8" x14ac:dyDescent="0.25">
      <c r="A335">
        <v>688</v>
      </c>
      <c r="B335" s="1">
        <v>44805</v>
      </c>
      <c r="C335" s="27">
        <v>16144208</v>
      </c>
      <c r="D335" s="27" t="s">
        <v>22</v>
      </c>
      <c r="E335" s="27" t="s">
        <v>188</v>
      </c>
      <c r="F335" s="27" t="s">
        <v>10</v>
      </c>
      <c r="G335" s="27" t="s">
        <v>20</v>
      </c>
      <c r="H335" s="25">
        <v>44804.689988425926</v>
      </c>
    </row>
    <row r="336" spans="1:8" x14ac:dyDescent="0.25">
      <c r="A336">
        <v>687</v>
      </c>
      <c r="B336" s="1">
        <v>44805</v>
      </c>
      <c r="C336" s="27">
        <v>16143634</v>
      </c>
      <c r="D336" s="27" t="s">
        <v>23</v>
      </c>
      <c r="E336" s="27" t="s">
        <v>187</v>
      </c>
      <c r="F336" s="27" t="s">
        <v>10</v>
      </c>
      <c r="G336" s="27" t="s">
        <v>20</v>
      </c>
      <c r="H336" s="25">
        <v>44804.636944444443</v>
      </c>
    </row>
    <row r="337" spans="1:8" x14ac:dyDescent="0.25">
      <c r="A337">
        <v>686</v>
      </c>
      <c r="B337" s="1">
        <v>44805</v>
      </c>
      <c r="C337" s="27">
        <v>16143147</v>
      </c>
      <c r="D337" s="27" t="s">
        <v>19</v>
      </c>
      <c r="E337" s="27" t="s">
        <v>186</v>
      </c>
      <c r="F337" s="27" t="s">
        <v>10</v>
      </c>
      <c r="G337" s="27" t="s">
        <v>20</v>
      </c>
      <c r="H337" s="25">
        <v>44804.592974537038</v>
      </c>
    </row>
    <row r="338" spans="1:8" x14ac:dyDescent="0.25">
      <c r="A338">
        <v>682</v>
      </c>
      <c r="B338" s="1">
        <v>44805</v>
      </c>
      <c r="C338" s="27">
        <v>16142843</v>
      </c>
      <c r="D338" s="27" t="s">
        <v>22</v>
      </c>
      <c r="E338" s="27" t="s">
        <v>180</v>
      </c>
      <c r="F338" s="27" t="s">
        <v>10</v>
      </c>
      <c r="G338" s="27" t="s">
        <v>20</v>
      </c>
      <c r="H338" s="25">
        <v>44804.570138888892</v>
      </c>
    </row>
    <row r="339" spans="1:8" x14ac:dyDescent="0.25">
      <c r="A339">
        <v>680</v>
      </c>
      <c r="B339" s="1">
        <v>44805</v>
      </c>
      <c r="C339" s="27">
        <v>16142770</v>
      </c>
      <c r="D339" s="27" t="s">
        <v>25</v>
      </c>
      <c r="E339" s="27" t="s">
        <v>181</v>
      </c>
      <c r="F339" s="27" t="s">
        <v>17</v>
      </c>
      <c r="G339" s="27" t="s">
        <v>20</v>
      </c>
      <c r="H339" s="25">
        <v>44804.570509259262</v>
      </c>
    </row>
    <row r="340" spans="1:8" x14ac:dyDescent="0.25">
      <c r="A340">
        <v>681</v>
      </c>
      <c r="B340" s="1">
        <v>44805</v>
      </c>
      <c r="C340" s="27">
        <v>16142816</v>
      </c>
      <c r="D340" s="27" t="s">
        <v>22</v>
      </c>
      <c r="E340" s="27" t="s">
        <v>178</v>
      </c>
      <c r="F340" s="27" t="s">
        <v>10</v>
      </c>
      <c r="G340" s="27" t="s">
        <v>20</v>
      </c>
      <c r="H340" s="25">
        <v>44804.567962962959</v>
      </c>
    </row>
    <row r="341" spans="1:8" x14ac:dyDescent="0.25">
      <c r="A341">
        <v>677</v>
      </c>
      <c r="B341" s="1">
        <v>44805</v>
      </c>
      <c r="C341" s="27">
        <v>16132862</v>
      </c>
      <c r="D341" s="27" t="s">
        <v>19</v>
      </c>
      <c r="E341" s="27" t="s">
        <v>147</v>
      </c>
      <c r="F341" s="27" t="s">
        <v>10</v>
      </c>
      <c r="G341" s="27" t="s">
        <v>20</v>
      </c>
      <c r="H341" s="25">
        <v>44802.591296296298</v>
      </c>
    </row>
    <row r="342" spans="1:8" x14ac:dyDescent="0.25">
      <c r="A342">
        <v>466</v>
      </c>
      <c r="B342" s="1">
        <v>44805</v>
      </c>
      <c r="C342" s="27">
        <v>16143030</v>
      </c>
      <c r="D342" s="27" t="s">
        <v>15</v>
      </c>
      <c r="E342" s="27" t="s">
        <v>428</v>
      </c>
      <c r="F342" s="27" t="s">
        <v>24</v>
      </c>
      <c r="G342" s="27" t="s">
        <v>29</v>
      </c>
      <c r="H342" s="25">
        <v>44804.583622685182</v>
      </c>
    </row>
    <row r="343" spans="1:8" x14ac:dyDescent="0.25">
      <c r="A343">
        <v>465</v>
      </c>
      <c r="B343" s="1">
        <v>44805</v>
      </c>
      <c r="C343" s="27">
        <v>16143360</v>
      </c>
      <c r="D343" s="27" t="s">
        <v>11</v>
      </c>
      <c r="E343" s="27" t="s">
        <v>424</v>
      </c>
      <c r="F343" s="27" t="s">
        <v>18</v>
      </c>
      <c r="G343" s="27" t="s">
        <v>29</v>
      </c>
      <c r="H343" s="25">
        <v>44804.611157407409</v>
      </c>
    </row>
    <row r="344" spans="1:8" x14ac:dyDescent="0.25">
      <c r="A344">
        <v>468</v>
      </c>
      <c r="B344" s="1">
        <v>44805</v>
      </c>
      <c r="C344" s="27">
        <v>16142994</v>
      </c>
      <c r="D344" s="27" t="s">
        <v>15</v>
      </c>
      <c r="E344" s="27" t="s">
        <v>427</v>
      </c>
      <c r="F344" s="27" t="s">
        <v>28</v>
      </c>
      <c r="G344" s="27" t="s">
        <v>29</v>
      </c>
      <c r="H344" s="25">
        <v>44804.580775462964</v>
      </c>
    </row>
    <row r="345" spans="1:8" x14ac:dyDescent="0.25">
      <c r="A345">
        <v>467</v>
      </c>
      <c r="B345" s="1">
        <v>44805</v>
      </c>
      <c r="C345" s="27">
        <v>16142992</v>
      </c>
      <c r="D345" s="27" t="s">
        <v>11</v>
      </c>
      <c r="E345" s="27" t="s">
        <v>434</v>
      </c>
      <c r="F345" s="27" t="s">
        <v>28</v>
      </c>
      <c r="G345" s="27" t="s">
        <v>29</v>
      </c>
      <c r="H345" s="25">
        <v>44804.580740740741</v>
      </c>
    </row>
    <row r="346" spans="1:8" x14ac:dyDescent="0.25">
      <c r="A346">
        <v>479</v>
      </c>
      <c r="B346" s="1">
        <v>44805</v>
      </c>
      <c r="C346" s="27">
        <v>16141738</v>
      </c>
      <c r="D346" s="27" t="s">
        <v>14</v>
      </c>
      <c r="E346" s="27" t="s">
        <v>416</v>
      </c>
      <c r="F346" s="27" t="s">
        <v>28</v>
      </c>
      <c r="G346" s="27" t="s">
        <v>29</v>
      </c>
      <c r="H346" s="25">
        <v>44804.41983796296</v>
      </c>
    </row>
    <row r="347" spans="1:8" x14ac:dyDescent="0.25">
      <c r="A347">
        <v>480</v>
      </c>
      <c r="B347" s="1">
        <v>44805</v>
      </c>
      <c r="C347" s="27">
        <v>16141377</v>
      </c>
      <c r="D347" s="27" t="s">
        <v>11</v>
      </c>
      <c r="E347" s="27" t="s">
        <v>435</v>
      </c>
      <c r="F347" s="27" t="s">
        <v>28</v>
      </c>
      <c r="G347" s="27" t="s">
        <v>29</v>
      </c>
      <c r="H347" s="25">
        <v>44804.389131944445</v>
      </c>
    </row>
    <row r="348" spans="1:8" x14ac:dyDescent="0.25">
      <c r="A348">
        <v>464</v>
      </c>
      <c r="B348" s="1">
        <v>44805</v>
      </c>
      <c r="C348" s="27">
        <v>16143090</v>
      </c>
      <c r="D348" s="27" t="s">
        <v>11</v>
      </c>
      <c r="E348" s="27" t="s">
        <v>426</v>
      </c>
      <c r="F348" s="27" t="s">
        <v>18</v>
      </c>
      <c r="G348" s="27" t="s">
        <v>29</v>
      </c>
      <c r="H348" s="25">
        <v>44804.589525462965</v>
      </c>
    </row>
    <row r="349" spans="1:8" x14ac:dyDescent="0.25">
      <c r="A349">
        <v>478</v>
      </c>
      <c r="B349" s="1">
        <v>44805</v>
      </c>
      <c r="C349" s="27">
        <v>16141783</v>
      </c>
      <c r="D349" s="27" t="s">
        <v>11</v>
      </c>
      <c r="E349" s="27" t="s">
        <v>438</v>
      </c>
      <c r="F349" s="27" t="s">
        <v>24</v>
      </c>
      <c r="G349" s="27" t="s">
        <v>29</v>
      </c>
      <c r="H349" s="25">
        <v>44804.421400462961</v>
      </c>
    </row>
    <row r="350" spans="1:8" x14ac:dyDescent="0.25">
      <c r="A350">
        <v>474</v>
      </c>
      <c r="B350" s="1">
        <v>44805</v>
      </c>
      <c r="C350" s="27">
        <v>16146675</v>
      </c>
      <c r="D350" s="27" t="s">
        <v>15</v>
      </c>
      <c r="E350" s="27" t="s">
        <v>412</v>
      </c>
      <c r="F350" s="27" t="s">
        <v>24</v>
      </c>
      <c r="G350" s="27" t="s">
        <v>29</v>
      </c>
      <c r="H350" s="25">
        <v>44805.402719907404</v>
      </c>
    </row>
    <row r="351" spans="1:8" x14ac:dyDescent="0.25">
      <c r="A351">
        <v>473</v>
      </c>
      <c r="B351" s="1">
        <v>44805</v>
      </c>
      <c r="C351" s="27">
        <v>16145755</v>
      </c>
      <c r="D351" s="27" t="s">
        <v>14</v>
      </c>
      <c r="E351" s="27" t="s">
        <v>429</v>
      </c>
      <c r="F351" s="27" t="s">
        <v>28</v>
      </c>
      <c r="G351" s="27" t="s">
        <v>29</v>
      </c>
      <c r="H351" s="25">
        <v>44805.341874999998</v>
      </c>
    </row>
    <row r="352" spans="1:8" x14ac:dyDescent="0.25">
      <c r="A352">
        <v>476</v>
      </c>
      <c r="B352" s="1">
        <v>44805</v>
      </c>
      <c r="C352" s="27">
        <v>16140841</v>
      </c>
      <c r="D352" s="27" t="s">
        <v>11</v>
      </c>
      <c r="E352" s="27" t="s">
        <v>439</v>
      </c>
      <c r="F352" s="27" t="s">
        <v>28</v>
      </c>
      <c r="G352" s="27" t="s">
        <v>29</v>
      </c>
      <c r="H352" s="25">
        <v>44804.356990740744</v>
      </c>
    </row>
    <row r="353" spans="1:8" x14ac:dyDescent="0.25">
      <c r="A353">
        <v>475</v>
      </c>
      <c r="B353" s="1">
        <v>44805</v>
      </c>
      <c r="C353" s="27">
        <v>16142969</v>
      </c>
      <c r="D353" s="27" t="s">
        <v>11</v>
      </c>
      <c r="E353" s="27" t="s">
        <v>405</v>
      </c>
      <c r="F353" s="27" t="s">
        <v>28</v>
      </c>
      <c r="G353" s="27" t="s">
        <v>29</v>
      </c>
      <c r="H353" s="25">
        <v>44804.579189814816</v>
      </c>
    </row>
    <row r="354" spans="1:8" x14ac:dyDescent="0.25">
      <c r="A354">
        <v>470</v>
      </c>
      <c r="B354" s="1">
        <v>44805</v>
      </c>
      <c r="C354" s="27">
        <v>16147948</v>
      </c>
      <c r="D354" s="27" t="s">
        <v>14</v>
      </c>
      <c r="E354" s="27" t="s">
        <v>432</v>
      </c>
      <c r="F354" s="27" t="s">
        <v>28</v>
      </c>
      <c r="G354" s="27" t="s">
        <v>29</v>
      </c>
      <c r="H354" s="25">
        <v>44805.625219907408</v>
      </c>
    </row>
    <row r="355" spans="1:8" x14ac:dyDescent="0.25">
      <c r="A355">
        <v>469</v>
      </c>
      <c r="B355" s="1">
        <v>44805</v>
      </c>
      <c r="C355" s="27">
        <v>16143793</v>
      </c>
      <c r="D355" s="27" t="s">
        <v>14</v>
      </c>
      <c r="E355" s="27" t="s">
        <v>425</v>
      </c>
      <c r="F355" s="27" t="s">
        <v>24</v>
      </c>
      <c r="G355" s="27" t="s">
        <v>29</v>
      </c>
      <c r="H355" s="25">
        <v>44804.624502314815</v>
      </c>
    </row>
    <row r="356" spans="1:8" x14ac:dyDescent="0.25">
      <c r="A356">
        <v>472</v>
      </c>
      <c r="B356" s="1">
        <v>44805</v>
      </c>
      <c r="C356" s="27">
        <v>16147883</v>
      </c>
      <c r="D356" s="27" t="s">
        <v>14</v>
      </c>
      <c r="E356" s="27" t="s">
        <v>433</v>
      </c>
      <c r="F356" s="27" t="s">
        <v>28</v>
      </c>
      <c r="G356" s="27" t="s">
        <v>29</v>
      </c>
      <c r="H356" s="25">
        <v>44805.623715277776</v>
      </c>
    </row>
    <row r="357" spans="1:8" x14ac:dyDescent="0.25">
      <c r="A357">
        <v>471</v>
      </c>
      <c r="B357" s="1">
        <v>44805</v>
      </c>
      <c r="C357" s="27">
        <v>16147690</v>
      </c>
      <c r="D357" s="27" t="s">
        <v>7</v>
      </c>
      <c r="E357" s="27" t="s">
        <v>431</v>
      </c>
      <c r="F357" s="27" t="s">
        <v>28</v>
      </c>
      <c r="G357" s="27" t="s">
        <v>29</v>
      </c>
      <c r="H357" s="25">
        <v>44805.633645833332</v>
      </c>
    </row>
    <row r="358" spans="1:8" x14ac:dyDescent="0.25">
      <c r="A358">
        <v>481</v>
      </c>
      <c r="B358" s="1">
        <v>44805</v>
      </c>
      <c r="C358" s="27">
        <v>16141032</v>
      </c>
      <c r="D358" s="27" t="s">
        <v>11</v>
      </c>
      <c r="E358" s="27" t="s">
        <v>436</v>
      </c>
      <c r="F358" s="27" t="s">
        <v>28</v>
      </c>
      <c r="G358" s="27" t="s">
        <v>29</v>
      </c>
      <c r="H358" s="25">
        <v>44804.366435185184</v>
      </c>
    </row>
    <row r="359" spans="1:8" x14ac:dyDescent="0.25">
      <c r="A359">
        <v>28</v>
      </c>
      <c r="B359" s="1">
        <v>44805</v>
      </c>
      <c r="C359" s="27">
        <v>16141179</v>
      </c>
      <c r="D359" s="27" t="s">
        <v>14</v>
      </c>
      <c r="E359" s="27" t="s">
        <v>478</v>
      </c>
      <c r="F359" s="27" t="s">
        <v>13</v>
      </c>
      <c r="G359" s="27" t="s">
        <v>8</v>
      </c>
      <c r="H359" s="25">
        <v>44804.375011574077</v>
      </c>
    </row>
    <row r="360" spans="1:8" x14ac:dyDescent="0.25">
      <c r="A360">
        <v>636</v>
      </c>
      <c r="B360" s="1">
        <v>44805</v>
      </c>
      <c r="C360" s="27">
        <v>16097053</v>
      </c>
      <c r="D360" s="27" t="s">
        <v>26</v>
      </c>
      <c r="E360" s="27" t="s">
        <v>183</v>
      </c>
      <c r="F360" s="27" t="s">
        <v>18</v>
      </c>
      <c r="G360" s="27" t="s">
        <v>20</v>
      </c>
      <c r="H360" s="25">
        <v>44804.575671296298</v>
      </c>
    </row>
    <row r="361" spans="1:8" x14ac:dyDescent="0.25">
      <c r="A361">
        <v>30</v>
      </c>
      <c r="B361" s="1">
        <v>44805</v>
      </c>
      <c r="C361" s="27">
        <v>16143122</v>
      </c>
      <c r="D361" s="27" t="s">
        <v>11</v>
      </c>
      <c r="E361" s="27" t="s">
        <v>480</v>
      </c>
      <c r="F361" s="27" t="s">
        <v>16</v>
      </c>
      <c r="G361" s="27" t="s">
        <v>8</v>
      </c>
      <c r="H361" s="25">
        <v>44804.591238425928</v>
      </c>
    </row>
    <row r="362" spans="1:8" x14ac:dyDescent="0.25">
      <c r="A362">
        <v>29</v>
      </c>
      <c r="B362" s="1">
        <v>44805</v>
      </c>
      <c r="C362" s="27">
        <v>16141202</v>
      </c>
      <c r="D362" s="27" t="s">
        <v>14</v>
      </c>
      <c r="E362" s="27" t="s">
        <v>479</v>
      </c>
      <c r="F362" s="27" t="s">
        <v>13</v>
      </c>
      <c r="G362" s="27" t="s">
        <v>8</v>
      </c>
      <c r="H362" s="25">
        <v>44804.376296296294</v>
      </c>
    </row>
    <row r="363" spans="1:8" x14ac:dyDescent="0.25">
      <c r="A363">
        <v>477</v>
      </c>
      <c r="B363" s="1">
        <v>44805</v>
      </c>
      <c r="C363" s="27">
        <v>16140912</v>
      </c>
      <c r="D363" s="27" t="s">
        <v>11</v>
      </c>
      <c r="E363" s="27" t="s">
        <v>437</v>
      </c>
      <c r="F363" s="27" t="s">
        <v>28</v>
      </c>
      <c r="G363" s="27" t="s">
        <v>29</v>
      </c>
      <c r="H363" s="25">
        <v>44804.36010416667</v>
      </c>
    </row>
    <row r="364" spans="1:8" x14ac:dyDescent="0.25">
      <c r="A364">
        <v>672</v>
      </c>
      <c r="B364" s="1">
        <v>44805</v>
      </c>
      <c r="C364" s="27">
        <v>16132774</v>
      </c>
      <c r="D364" s="27" t="s">
        <v>19</v>
      </c>
      <c r="E364" s="27" t="s">
        <v>146</v>
      </c>
      <c r="F364" s="27" t="s">
        <v>10</v>
      </c>
      <c r="G364" s="27" t="s">
        <v>20</v>
      </c>
      <c r="H364" s="25">
        <v>44802.588587962964</v>
      </c>
    </row>
    <row r="365" spans="1:8" x14ac:dyDescent="0.25">
      <c r="A365">
        <v>637</v>
      </c>
      <c r="B365" s="1">
        <v>44805</v>
      </c>
      <c r="C365" s="27">
        <v>16125432</v>
      </c>
      <c r="D365" s="27" t="s">
        <v>22</v>
      </c>
      <c r="E365" s="27" t="s">
        <v>144</v>
      </c>
      <c r="F365" s="27"/>
      <c r="G365" s="27" t="s">
        <v>20</v>
      </c>
      <c r="H365" s="25">
        <v>44799.616365740738</v>
      </c>
    </row>
    <row r="366" spans="1:8" x14ac:dyDescent="0.25">
      <c r="A366">
        <v>642</v>
      </c>
      <c r="B366" s="1">
        <v>44805</v>
      </c>
      <c r="C366" s="27">
        <v>16125866</v>
      </c>
      <c r="D366" s="27" t="s">
        <v>22</v>
      </c>
      <c r="E366" s="27" t="s">
        <v>145</v>
      </c>
      <c r="F366" s="27" t="s">
        <v>10</v>
      </c>
      <c r="G366" s="27" t="s">
        <v>20</v>
      </c>
      <c r="H366" s="25">
        <v>44799.638680555552</v>
      </c>
    </row>
    <row r="367" spans="1:8" x14ac:dyDescent="0.25">
      <c r="A367">
        <v>484</v>
      </c>
      <c r="B367" s="1">
        <v>44805</v>
      </c>
      <c r="C367" s="27">
        <v>16142937</v>
      </c>
      <c r="D367" s="27" t="s">
        <v>11</v>
      </c>
      <c r="E367" s="27" t="s">
        <v>442</v>
      </c>
      <c r="F367" s="27" t="s">
        <v>28</v>
      </c>
      <c r="G367" s="27" t="s">
        <v>29</v>
      </c>
      <c r="H367" s="25">
        <v>44804.577719907407</v>
      </c>
    </row>
    <row r="368" spans="1:8" x14ac:dyDescent="0.25">
      <c r="A368">
        <v>485</v>
      </c>
      <c r="B368" s="1">
        <v>44805</v>
      </c>
      <c r="C368" s="27">
        <v>16036817</v>
      </c>
      <c r="D368" s="27" t="s">
        <v>15</v>
      </c>
      <c r="E368" s="27" t="s">
        <v>440</v>
      </c>
      <c r="F368" s="27" t="s">
        <v>28</v>
      </c>
      <c r="G368" s="27" t="s">
        <v>29</v>
      </c>
      <c r="H368" s="25">
        <v>44804.563668981478</v>
      </c>
    </row>
    <row r="369" spans="1:8" x14ac:dyDescent="0.25">
      <c r="A369">
        <v>482</v>
      </c>
      <c r="B369" s="1">
        <v>44805</v>
      </c>
      <c r="C369" s="27">
        <v>16142826</v>
      </c>
      <c r="D369" s="27" t="s">
        <v>12</v>
      </c>
      <c r="E369" s="27" t="s">
        <v>443</v>
      </c>
      <c r="F369" s="27" t="s">
        <v>28</v>
      </c>
      <c r="G369" s="27" t="s">
        <v>29</v>
      </c>
      <c r="H369" s="25">
        <v>44804.577951388892</v>
      </c>
    </row>
    <row r="370" spans="1:8" x14ac:dyDescent="0.25">
      <c r="A370">
        <v>483</v>
      </c>
      <c r="B370" s="1">
        <v>44805</v>
      </c>
      <c r="C370" s="27">
        <v>16142931</v>
      </c>
      <c r="D370" s="27" t="s">
        <v>12</v>
      </c>
      <c r="E370" s="27" t="s">
        <v>444</v>
      </c>
      <c r="F370" s="27" t="s">
        <v>28</v>
      </c>
      <c r="G370" s="27" t="s">
        <v>29</v>
      </c>
      <c r="H370" s="25">
        <v>44804.578067129631</v>
      </c>
    </row>
    <row r="371" spans="1:8" x14ac:dyDescent="0.25">
      <c r="A371">
        <v>32</v>
      </c>
      <c r="B371" s="1">
        <v>44805</v>
      </c>
      <c r="C371" s="27">
        <v>16143932</v>
      </c>
      <c r="D371" s="27" t="s">
        <v>11</v>
      </c>
      <c r="E371" s="27" t="s">
        <v>482</v>
      </c>
      <c r="F371" s="27" t="s">
        <v>10</v>
      </c>
      <c r="G371" s="27" t="s">
        <v>8</v>
      </c>
      <c r="H371" s="25">
        <v>44804.662824074076</v>
      </c>
    </row>
    <row r="372" spans="1:8" x14ac:dyDescent="0.25">
      <c r="A372">
        <v>31</v>
      </c>
      <c r="B372" s="1">
        <v>44805</v>
      </c>
      <c r="C372" s="27">
        <v>16143167</v>
      </c>
      <c r="D372" s="27" t="s">
        <v>11</v>
      </c>
      <c r="E372" s="27" t="s">
        <v>481</v>
      </c>
      <c r="F372" s="27" t="s">
        <v>16</v>
      </c>
      <c r="G372" s="27" t="s">
        <v>8</v>
      </c>
      <c r="H372" s="25">
        <v>44804.594571759262</v>
      </c>
    </row>
    <row r="373" spans="1:8" x14ac:dyDescent="0.25">
      <c r="A373">
        <v>486</v>
      </c>
      <c r="B373" s="1">
        <v>44805</v>
      </c>
      <c r="C373" s="27">
        <v>16142734</v>
      </c>
      <c r="D373" s="27" t="s">
        <v>12</v>
      </c>
      <c r="E373" s="27" t="s">
        <v>441</v>
      </c>
      <c r="F373" s="27" t="s">
        <v>28</v>
      </c>
      <c r="G373" s="27" t="s">
        <v>29</v>
      </c>
      <c r="H373" s="25">
        <v>44804.577708333331</v>
      </c>
    </row>
    <row r="374" spans="1:8" x14ac:dyDescent="0.25">
      <c r="A374">
        <v>33</v>
      </c>
      <c r="B374" s="1">
        <v>44805</v>
      </c>
      <c r="C374" s="27">
        <v>16146727</v>
      </c>
      <c r="D374" s="27" t="s">
        <v>7</v>
      </c>
      <c r="E374" s="27" t="s">
        <v>483</v>
      </c>
      <c r="F374" s="27" t="s">
        <v>10</v>
      </c>
      <c r="G374" s="27" t="s">
        <v>8</v>
      </c>
      <c r="H374" s="25">
        <v>44805.425011574072</v>
      </c>
    </row>
    <row r="375" spans="1:8" x14ac:dyDescent="0.25">
      <c r="A375">
        <v>319</v>
      </c>
      <c r="B375" s="1">
        <v>44805</v>
      </c>
      <c r="C375" s="27">
        <v>16142139</v>
      </c>
      <c r="D375" s="27" t="s">
        <v>14</v>
      </c>
      <c r="E375" s="27" t="s">
        <v>229</v>
      </c>
      <c r="F375" s="27"/>
      <c r="G375" s="27" t="s">
        <v>30</v>
      </c>
      <c r="H375" s="25">
        <v>44804.458865740744</v>
      </c>
    </row>
    <row r="376" spans="1:8" x14ac:dyDescent="0.25">
      <c r="A376">
        <v>320</v>
      </c>
      <c r="B376" s="1">
        <v>44805</v>
      </c>
      <c r="C376" s="27">
        <v>16144154</v>
      </c>
      <c r="D376" s="27" t="s">
        <v>11</v>
      </c>
      <c r="E376" s="27" t="s">
        <v>230</v>
      </c>
      <c r="F376" s="27" t="s">
        <v>10</v>
      </c>
      <c r="G376" s="27" t="s">
        <v>30</v>
      </c>
      <c r="H376" s="25">
        <v>44804.682453703703</v>
      </c>
    </row>
    <row r="377" spans="1:8" x14ac:dyDescent="0.25">
      <c r="A377">
        <v>321</v>
      </c>
      <c r="B377" s="1">
        <v>44805</v>
      </c>
      <c r="C377" s="27">
        <v>16136451</v>
      </c>
      <c r="D377" s="27" t="s">
        <v>7</v>
      </c>
      <c r="E377" s="27" t="s">
        <v>217</v>
      </c>
      <c r="F377" s="27" t="s">
        <v>10</v>
      </c>
      <c r="G377" s="27" t="s">
        <v>30</v>
      </c>
      <c r="H377" s="25">
        <v>44803.460173611114</v>
      </c>
    </row>
    <row r="378" spans="1:8" x14ac:dyDescent="0.25">
      <c r="A378">
        <v>318</v>
      </c>
      <c r="B378" s="1">
        <v>44805</v>
      </c>
      <c r="C378" s="27">
        <v>16143886</v>
      </c>
      <c r="D378" s="27" t="s">
        <v>14</v>
      </c>
      <c r="E378" s="27" t="s">
        <v>228</v>
      </c>
      <c r="F378" s="27" t="s">
        <v>10</v>
      </c>
      <c r="G378" s="27" t="s">
        <v>30</v>
      </c>
      <c r="H378" s="25">
        <v>44804.660231481481</v>
      </c>
    </row>
    <row r="379" spans="1:8" x14ac:dyDescent="0.25">
      <c r="A379">
        <v>315</v>
      </c>
      <c r="B379" s="1">
        <v>44805</v>
      </c>
      <c r="C379" s="27">
        <v>16143409</v>
      </c>
      <c r="D379" s="27" t="s">
        <v>11</v>
      </c>
      <c r="E379" s="27" t="s">
        <v>224</v>
      </c>
      <c r="F379" s="27" t="s">
        <v>10</v>
      </c>
      <c r="G379" s="27" t="s">
        <v>30</v>
      </c>
      <c r="H379" s="25">
        <v>44804.618472222224</v>
      </c>
    </row>
    <row r="380" spans="1:8" x14ac:dyDescent="0.25">
      <c r="A380">
        <v>316</v>
      </c>
      <c r="B380" s="1">
        <v>44805</v>
      </c>
      <c r="C380" s="27">
        <v>16141975</v>
      </c>
      <c r="D380" s="27" t="s">
        <v>14</v>
      </c>
      <c r="E380" s="27" t="s">
        <v>225</v>
      </c>
      <c r="F380" s="27"/>
      <c r="G380" s="27" t="s">
        <v>30</v>
      </c>
      <c r="H380" s="25">
        <v>44804.441736111112</v>
      </c>
    </row>
    <row r="381" spans="1:8" x14ac:dyDescent="0.25">
      <c r="A381">
        <v>317</v>
      </c>
      <c r="B381" s="1">
        <v>44805</v>
      </c>
      <c r="C381" s="27">
        <v>16143008</v>
      </c>
      <c r="D381" s="27" t="s">
        <v>11</v>
      </c>
      <c r="E381" s="27" t="s">
        <v>226</v>
      </c>
      <c r="F381" s="27" t="s">
        <v>10</v>
      </c>
      <c r="G381" s="27" t="s">
        <v>30</v>
      </c>
      <c r="H381" s="25">
        <v>44804.581620370373</v>
      </c>
    </row>
    <row r="382" spans="1:8" x14ac:dyDescent="0.25">
      <c r="A382">
        <v>326</v>
      </c>
      <c r="B382" s="1">
        <v>44805</v>
      </c>
      <c r="C382" s="27">
        <v>16136878</v>
      </c>
      <c r="D382" s="27" t="s">
        <v>7</v>
      </c>
      <c r="E382" s="27" t="s">
        <v>222</v>
      </c>
      <c r="F382" s="27" t="s">
        <v>10</v>
      </c>
      <c r="G382" s="27" t="s">
        <v>30</v>
      </c>
      <c r="H382" s="25">
        <v>44803.52548611111</v>
      </c>
    </row>
    <row r="383" spans="1:8" x14ac:dyDescent="0.25">
      <c r="A383">
        <v>327</v>
      </c>
      <c r="B383" s="1">
        <v>44805</v>
      </c>
      <c r="C383" s="27">
        <v>16131035</v>
      </c>
      <c r="D383" s="27" t="s">
        <v>7</v>
      </c>
      <c r="E383" s="27" t="s">
        <v>223</v>
      </c>
      <c r="F383" s="27" t="s">
        <v>10</v>
      </c>
      <c r="G383" s="27" t="s">
        <v>30</v>
      </c>
      <c r="H383" s="25">
        <v>44802.39916666667</v>
      </c>
    </row>
    <row r="384" spans="1:8" x14ac:dyDescent="0.25">
      <c r="A384">
        <v>328</v>
      </c>
      <c r="B384" s="1">
        <v>44805</v>
      </c>
      <c r="C384" s="27">
        <v>16143145</v>
      </c>
      <c r="D384" s="27" t="s">
        <v>12</v>
      </c>
      <c r="E384" s="27" t="s">
        <v>213</v>
      </c>
      <c r="F384" s="27" t="s">
        <v>10</v>
      </c>
      <c r="G384" s="27" t="s">
        <v>30</v>
      </c>
      <c r="H384" s="25">
        <v>44804.595775462964</v>
      </c>
    </row>
    <row r="385" spans="1:8" x14ac:dyDescent="0.25">
      <c r="A385">
        <v>325</v>
      </c>
      <c r="B385" s="1">
        <v>44805</v>
      </c>
      <c r="C385" s="27">
        <v>16136811</v>
      </c>
      <c r="D385" s="27" t="s">
        <v>7</v>
      </c>
      <c r="E385" s="27" t="s">
        <v>221</v>
      </c>
      <c r="F385" s="27" t="s">
        <v>10</v>
      </c>
      <c r="G385" s="27" t="s">
        <v>30</v>
      </c>
      <c r="H385" s="25">
        <v>44803.524780092594</v>
      </c>
    </row>
    <row r="386" spans="1:8" x14ac:dyDescent="0.25">
      <c r="A386">
        <v>322</v>
      </c>
      <c r="B386" s="1">
        <v>44805</v>
      </c>
      <c r="C386" s="27">
        <v>16136469</v>
      </c>
      <c r="D386" s="27" t="s">
        <v>7</v>
      </c>
      <c r="E386" s="27" t="s">
        <v>218</v>
      </c>
      <c r="F386" s="27" t="s">
        <v>10</v>
      </c>
      <c r="G386" s="27" t="s">
        <v>30</v>
      </c>
      <c r="H386" s="25">
        <v>44803.461331018516</v>
      </c>
    </row>
    <row r="387" spans="1:8" x14ac:dyDescent="0.25">
      <c r="A387">
        <v>323</v>
      </c>
      <c r="B387" s="1">
        <v>44805</v>
      </c>
      <c r="C387" s="27">
        <v>16136502</v>
      </c>
      <c r="D387" s="27" t="s">
        <v>7</v>
      </c>
      <c r="E387" s="27" t="s">
        <v>219</v>
      </c>
      <c r="F387" s="27" t="s">
        <v>10</v>
      </c>
      <c r="G387" s="27" t="s">
        <v>30</v>
      </c>
      <c r="H387" s="25">
        <v>44803.462314814817</v>
      </c>
    </row>
    <row r="388" spans="1:8" x14ac:dyDescent="0.25">
      <c r="A388">
        <v>324</v>
      </c>
      <c r="B388" s="1">
        <v>44805</v>
      </c>
      <c r="C388" s="27">
        <v>16136839</v>
      </c>
      <c r="D388" s="27" t="s">
        <v>7</v>
      </c>
      <c r="E388" s="27" t="s">
        <v>220</v>
      </c>
      <c r="F388" s="27" t="s">
        <v>10</v>
      </c>
      <c r="G388" s="27" t="s">
        <v>30</v>
      </c>
      <c r="H388" s="25">
        <v>44803.524143518516</v>
      </c>
    </row>
    <row r="389" spans="1:8" x14ac:dyDescent="0.25">
      <c r="A389">
        <v>314</v>
      </c>
      <c r="B389" s="1">
        <v>44805</v>
      </c>
      <c r="C389" s="27">
        <v>16146398</v>
      </c>
      <c r="D389" s="27" t="s">
        <v>7</v>
      </c>
      <c r="E389" s="27" t="s">
        <v>227</v>
      </c>
      <c r="F389" s="27" t="s">
        <v>17</v>
      </c>
      <c r="G389" s="27" t="s">
        <v>30</v>
      </c>
      <c r="H389" s="25">
        <v>44805.395682870374</v>
      </c>
    </row>
    <row r="390" spans="1:8" x14ac:dyDescent="0.25">
      <c r="A390">
        <v>120</v>
      </c>
      <c r="B390" s="1">
        <v>44805</v>
      </c>
      <c r="C390" s="27">
        <v>16143259</v>
      </c>
      <c r="D390" s="27" t="s">
        <v>14</v>
      </c>
      <c r="E390" s="27" t="s">
        <v>334</v>
      </c>
      <c r="F390" s="27" t="s">
        <v>10</v>
      </c>
      <c r="G390" s="27" t="s">
        <v>33</v>
      </c>
      <c r="H390" s="25">
        <v>44804.601701388892</v>
      </c>
    </row>
    <row r="391" spans="1:8" x14ac:dyDescent="0.25">
      <c r="A391">
        <v>119</v>
      </c>
      <c r="B391" s="1">
        <v>44805</v>
      </c>
      <c r="C391" s="27">
        <v>16145919</v>
      </c>
      <c r="D391" s="27" t="s">
        <v>12</v>
      </c>
      <c r="E391" s="27" t="s">
        <v>333</v>
      </c>
      <c r="F391" s="27" t="s">
        <v>10</v>
      </c>
      <c r="G391" s="27" t="s">
        <v>33</v>
      </c>
      <c r="H391" s="25">
        <v>44804.596620370372</v>
      </c>
    </row>
    <row r="392" spans="1:8" x14ac:dyDescent="0.25">
      <c r="A392">
        <v>118</v>
      </c>
      <c r="B392" s="1">
        <v>44805</v>
      </c>
      <c r="C392" s="27">
        <v>16143088</v>
      </c>
      <c r="D392" s="27" t="s">
        <v>12</v>
      </c>
      <c r="E392" s="27" t="s">
        <v>332</v>
      </c>
      <c r="F392" s="27" t="s">
        <v>10</v>
      </c>
      <c r="G392" s="27" t="s">
        <v>33</v>
      </c>
      <c r="H392" s="25">
        <v>44804.596215277779</v>
      </c>
    </row>
    <row r="393" spans="1:8" x14ac:dyDescent="0.25">
      <c r="A393">
        <v>121</v>
      </c>
      <c r="B393" s="1">
        <v>44805</v>
      </c>
      <c r="C393" s="27">
        <v>16143321</v>
      </c>
      <c r="D393" s="27" t="s">
        <v>14</v>
      </c>
      <c r="E393" s="27" t="s">
        <v>335</v>
      </c>
      <c r="F393" s="27" t="s">
        <v>10</v>
      </c>
      <c r="G393" s="27" t="s">
        <v>33</v>
      </c>
      <c r="H393" s="25">
        <v>44804.606979166667</v>
      </c>
    </row>
    <row r="394" spans="1:8" x14ac:dyDescent="0.25">
      <c r="A394">
        <v>124</v>
      </c>
      <c r="B394" s="1">
        <v>44805</v>
      </c>
      <c r="C394" s="27">
        <v>16145777</v>
      </c>
      <c r="D394" s="27" t="s">
        <v>15</v>
      </c>
      <c r="E394" s="27" t="s">
        <v>338</v>
      </c>
      <c r="F394" s="27" t="s">
        <v>10</v>
      </c>
      <c r="G394" s="27" t="s">
        <v>33</v>
      </c>
      <c r="H394" s="25">
        <v>44805.345069444447</v>
      </c>
    </row>
    <row r="395" spans="1:8" x14ac:dyDescent="0.25">
      <c r="A395">
        <v>123</v>
      </c>
      <c r="B395" s="1">
        <v>44805</v>
      </c>
      <c r="C395" s="27">
        <v>16137626</v>
      </c>
      <c r="D395" s="27" t="s">
        <v>15</v>
      </c>
      <c r="E395" s="27" t="s">
        <v>337</v>
      </c>
      <c r="F395" s="27" t="s">
        <v>10</v>
      </c>
      <c r="G395" s="27" t="s">
        <v>33</v>
      </c>
      <c r="H395" s="25">
        <v>44803.553530092591</v>
      </c>
    </row>
    <row r="396" spans="1:8" x14ac:dyDescent="0.25">
      <c r="A396">
        <v>122</v>
      </c>
      <c r="B396" s="1">
        <v>44805</v>
      </c>
      <c r="C396" s="27">
        <v>16143056</v>
      </c>
      <c r="D396" s="27" t="s">
        <v>12</v>
      </c>
      <c r="E396" s="27" t="s">
        <v>336</v>
      </c>
      <c r="F396" s="27" t="s">
        <v>10</v>
      </c>
      <c r="G396" s="27" t="s">
        <v>33</v>
      </c>
      <c r="H396" s="25">
        <v>44805.329375000001</v>
      </c>
    </row>
    <row r="397" spans="1:8" x14ac:dyDescent="0.25">
      <c r="A397">
        <v>125</v>
      </c>
      <c r="B397" s="1">
        <v>44805</v>
      </c>
      <c r="C397" s="27">
        <v>16145874</v>
      </c>
      <c r="D397" s="27" t="s">
        <v>15</v>
      </c>
      <c r="E397" s="27" t="s">
        <v>339</v>
      </c>
      <c r="F397" s="27" t="s">
        <v>10</v>
      </c>
      <c r="G397" s="27" t="s">
        <v>33</v>
      </c>
      <c r="H397" s="25">
        <v>44805.346701388888</v>
      </c>
    </row>
    <row r="398" spans="1:8" x14ac:dyDescent="0.25">
      <c r="A398">
        <v>312</v>
      </c>
      <c r="B398" s="1">
        <v>44805</v>
      </c>
      <c r="C398" s="27">
        <v>16145945</v>
      </c>
      <c r="D398" s="27" t="s">
        <v>14</v>
      </c>
      <c r="E398" s="27" t="s">
        <v>232</v>
      </c>
      <c r="F398" s="27" t="s">
        <v>10</v>
      </c>
      <c r="G398" s="27" t="s">
        <v>30</v>
      </c>
      <c r="H398" s="25">
        <v>44805.351018518515</v>
      </c>
    </row>
    <row r="399" spans="1:8" x14ac:dyDescent="0.25">
      <c r="A399">
        <v>313</v>
      </c>
      <c r="B399" s="1">
        <v>44805</v>
      </c>
      <c r="C399" s="27">
        <v>16142725</v>
      </c>
      <c r="D399" s="27" t="s">
        <v>15</v>
      </c>
      <c r="E399" s="27" t="s">
        <v>215</v>
      </c>
      <c r="F399" s="27" t="s">
        <v>10</v>
      </c>
      <c r="G399" s="27" t="s">
        <v>30</v>
      </c>
      <c r="H399" s="25">
        <v>44804.561724537038</v>
      </c>
    </row>
    <row r="400" spans="1:8" x14ac:dyDescent="0.25">
      <c r="A400">
        <v>310</v>
      </c>
      <c r="B400" s="1">
        <v>44805</v>
      </c>
      <c r="C400" s="27">
        <v>16149454</v>
      </c>
      <c r="D400" s="27" t="s">
        <v>14</v>
      </c>
      <c r="E400" s="27" t="s">
        <v>524</v>
      </c>
      <c r="F400" s="27"/>
      <c r="G400" s="27" t="s">
        <v>30</v>
      </c>
      <c r="H400" s="25">
        <v>44805.74422453704</v>
      </c>
    </row>
    <row r="401" spans="1:8" x14ac:dyDescent="0.25">
      <c r="A401">
        <v>127</v>
      </c>
      <c r="B401" s="1">
        <v>44805</v>
      </c>
      <c r="C401" s="27">
        <v>16146778</v>
      </c>
      <c r="D401" s="27" t="s">
        <v>15</v>
      </c>
      <c r="E401" s="27" t="s">
        <v>341</v>
      </c>
      <c r="F401" s="27" t="s">
        <v>10</v>
      </c>
      <c r="G401" s="27" t="s">
        <v>33</v>
      </c>
      <c r="H401" s="25">
        <v>44805.431793981479</v>
      </c>
    </row>
    <row r="402" spans="1:8" x14ac:dyDescent="0.25">
      <c r="A402">
        <v>308</v>
      </c>
      <c r="B402" s="1">
        <v>44805</v>
      </c>
      <c r="C402" s="27">
        <v>16147886</v>
      </c>
      <c r="D402" s="27" t="s">
        <v>11</v>
      </c>
      <c r="E402" s="27" t="s">
        <v>228</v>
      </c>
      <c r="F402" s="27"/>
      <c r="G402" s="27" t="s">
        <v>30</v>
      </c>
      <c r="H402" s="25">
        <v>44805.586782407408</v>
      </c>
    </row>
    <row r="403" spans="1:8" x14ac:dyDescent="0.25">
      <c r="A403">
        <v>309</v>
      </c>
      <c r="B403" s="1">
        <v>44805</v>
      </c>
      <c r="C403" s="27">
        <v>16148226</v>
      </c>
      <c r="D403" s="27" t="s">
        <v>14</v>
      </c>
      <c r="E403" s="27" t="s">
        <v>233</v>
      </c>
      <c r="F403" s="27"/>
      <c r="G403" s="27" t="s">
        <v>30</v>
      </c>
      <c r="H403" s="25">
        <v>44805.6096875</v>
      </c>
    </row>
    <row r="404" spans="1:8" x14ac:dyDescent="0.25">
      <c r="A404">
        <v>311</v>
      </c>
      <c r="B404" s="1">
        <v>44805</v>
      </c>
      <c r="C404" s="27">
        <v>16144490</v>
      </c>
      <c r="D404" s="27" t="s">
        <v>11</v>
      </c>
      <c r="E404" s="27" t="s">
        <v>231</v>
      </c>
      <c r="F404" s="27" t="s">
        <v>10</v>
      </c>
      <c r="G404" s="27" t="s">
        <v>30</v>
      </c>
      <c r="H404" s="25">
        <v>44804.726979166669</v>
      </c>
    </row>
    <row r="405" spans="1:8" x14ac:dyDescent="0.25">
      <c r="A405">
        <v>191</v>
      </c>
      <c r="B405" s="1">
        <v>44805</v>
      </c>
      <c r="C405" s="27">
        <v>16142818</v>
      </c>
      <c r="D405" s="27" t="s">
        <v>14</v>
      </c>
      <c r="E405" s="27" t="s">
        <v>296</v>
      </c>
      <c r="F405" s="27" t="s">
        <v>10</v>
      </c>
      <c r="G405" s="27" t="s">
        <v>32</v>
      </c>
      <c r="H405" s="25">
        <v>44804.566481481481</v>
      </c>
    </row>
    <row r="406" spans="1:8" x14ac:dyDescent="0.25">
      <c r="A406">
        <v>189</v>
      </c>
      <c r="B406" s="1">
        <v>44805</v>
      </c>
      <c r="C406" s="27">
        <v>16143136</v>
      </c>
      <c r="D406" s="27" t="s">
        <v>11</v>
      </c>
      <c r="E406" s="27" t="s">
        <v>294</v>
      </c>
      <c r="F406" s="27" t="s">
        <v>10</v>
      </c>
      <c r="G406" s="27" t="s">
        <v>32</v>
      </c>
      <c r="H406" s="25">
        <v>44804.59170138889</v>
      </c>
    </row>
    <row r="407" spans="1:8" x14ac:dyDescent="0.25">
      <c r="A407">
        <v>116</v>
      </c>
      <c r="B407" s="1">
        <v>44805</v>
      </c>
      <c r="C407" s="27">
        <v>16133191</v>
      </c>
      <c r="D407" s="27" t="s">
        <v>14</v>
      </c>
      <c r="E407" s="27" t="s">
        <v>331</v>
      </c>
      <c r="F407" s="27" t="s">
        <v>10</v>
      </c>
      <c r="G407" s="27" t="s">
        <v>33</v>
      </c>
      <c r="H407" s="25">
        <v>44804.474120370367</v>
      </c>
    </row>
    <row r="408" spans="1:8" x14ac:dyDescent="0.25">
      <c r="A408">
        <v>117</v>
      </c>
      <c r="B408" s="1">
        <v>44805</v>
      </c>
      <c r="C408" s="27">
        <v>16109492</v>
      </c>
      <c r="D408" s="27" t="s">
        <v>14</v>
      </c>
      <c r="E408" s="27" t="s">
        <v>58</v>
      </c>
      <c r="F408" s="27" t="s">
        <v>10</v>
      </c>
      <c r="G408" s="27" t="s">
        <v>33</v>
      </c>
      <c r="H408" s="25">
        <v>44802.618541666663</v>
      </c>
    </row>
    <row r="409" spans="1:8" x14ac:dyDescent="0.25">
      <c r="A409">
        <v>192</v>
      </c>
      <c r="B409" s="1">
        <v>44805</v>
      </c>
      <c r="C409" s="27">
        <v>16142706</v>
      </c>
      <c r="D409" s="27" t="s">
        <v>15</v>
      </c>
      <c r="E409" s="27" t="s">
        <v>297</v>
      </c>
      <c r="F409" s="27" t="s">
        <v>31</v>
      </c>
      <c r="G409" s="27" t="s">
        <v>32</v>
      </c>
      <c r="H409" s="25">
        <v>44804.559664351851</v>
      </c>
    </row>
    <row r="410" spans="1:8" x14ac:dyDescent="0.25">
      <c r="A410">
        <v>187</v>
      </c>
      <c r="B410" s="1">
        <v>44805</v>
      </c>
      <c r="C410" s="27">
        <v>16145884</v>
      </c>
      <c r="D410" s="27" t="s">
        <v>11</v>
      </c>
      <c r="E410" s="27" t="s">
        <v>292</v>
      </c>
      <c r="F410" s="27" t="s">
        <v>10</v>
      </c>
      <c r="G410" s="27" t="s">
        <v>32</v>
      </c>
      <c r="H410" s="25">
        <v>44805.347800925927</v>
      </c>
    </row>
    <row r="411" spans="1:8" x14ac:dyDescent="0.25">
      <c r="A411">
        <v>188</v>
      </c>
      <c r="B411" s="1">
        <v>44805</v>
      </c>
      <c r="C411" s="27">
        <v>16145654</v>
      </c>
      <c r="D411" s="27" t="s">
        <v>14</v>
      </c>
      <c r="E411" s="27" t="s">
        <v>293</v>
      </c>
      <c r="F411" s="27" t="s">
        <v>10</v>
      </c>
      <c r="G411" s="27" t="s">
        <v>32</v>
      </c>
      <c r="H411" s="25">
        <v>44805.334965277776</v>
      </c>
    </row>
    <row r="412" spans="1:8" x14ac:dyDescent="0.25">
      <c r="A412">
        <v>448</v>
      </c>
      <c r="B412" s="1">
        <v>44804</v>
      </c>
      <c r="C412" s="27">
        <v>16142188</v>
      </c>
      <c r="D412" s="27" t="s">
        <v>15</v>
      </c>
      <c r="E412" s="27" t="s">
        <v>411</v>
      </c>
      <c r="F412" s="27" t="s">
        <v>17</v>
      </c>
      <c r="G412" s="27" t="s">
        <v>29</v>
      </c>
      <c r="H412" s="25">
        <v>44804.46634259259</v>
      </c>
    </row>
    <row r="413" spans="1:8" x14ac:dyDescent="0.25">
      <c r="A413">
        <v>461</v>
      </c>
      <c r="B413" s="1">
        <v>44804</v>
      </c>
      <c r="C413" s="27">
        <v>16135854</v>
      </c>
      <c r="D413" s="27" t="s">
        <v>11</v>
      </c>
      <c r="E413" s="27" t="s">
        <v>42</v>
      </c>
      <c r="F413" s="27" t="s">
        <v>28</v>
      </c>
      <c r="G413" s="27" t="s">
        <v>29</v>
      </c>
      <c r="H413" s="25">
        <v>44803.371782407405</v>
      </c>
    </row>
    <row r="414" spans="1:8" x14ac:dyDescent="0.25">
      <c r="A414">
        <v>450</v>
      </c>
      <c r="B414" s="1">
        <v>44804</v>
      </c>
      <c r="C414" s="27">
        <v>16141910</v>
      </c>
      <c r="D414" s="27" t="s">
        <v>14</v>
      </c>
      <c r="E414" s="27" t="s">
        <v>417</v>
      </c>
      <c r="F414" s="27" t="s">
        <v>28</v>
      </c>
      <c r="G414" s="27" t="s">
        <v>29</v>
      </c>
      <c r="H414" s="25">
        <v>44804.433020833334</v>
      </c>
    </row>
    <row r="415" spans="1:8" x14ac:dyDescent="0.25">
      <c r="A415">
        <v>449</v>
      </c>
      <c r="B415" s="1">
        <v>44804</v>
      </c>
      <c r="C415" s="27">
        <v>16132503</v>
      </c>
      <c r="D415" s="27" t="s">
        <v>12</v>
      </c>
      <c r="E415" s="27" t="s">
        <v>415</v>
      </c>
      <c r="F415" s="27" t="s">
        <v>28</v>
      </c>
      <c r="G415" s="27" t="s">
        <v>29</v>
      </c>
      <c r="H415" s="25">
        <v>44804.396539351852</v>
      </c>
    </row>
    <row r="416" spans="1:8" x14ac:dyDescent="0.25">
      <c r="A416">
        <v>447</v>
      </c>
      <c r="B416" s="1">
        <v>44804</v>
      </c>
      <c r="C416" s="27">
        <v>16143936</v>
      </c>
      <c r="D416" s="27" t="s">
        <v>11</v>
      </c>
      <c r="E416" s="27" t="s">
        <v>414</v>
      </c>
      <c r="F416" s="27" t="s">
        <v>18</v>
      </c>
      <c r="G416" s="27" t="s">
        <v>29</v>
      </c>
      <c r="H416" s="25">
        <v>44804.663495370369</v>
      </c>
    </row>
    <row r="417" spans="1:8" x14ac:dyDescent="0.25">
      <c r="A417">
        <v>346</v>
      </c>
      <c r="B417" s="1">
        <v>44804</v>
      </c>
      <c r="C417" s="27">
        <v>16143008</v>
      </c>
      <c r="D417" s="27" t="s">
        <v>11</v>
      </c>
      <c r="E417" s="27" t="s">
        <v>226</v>
      </c>
      <c r="F417" s="27"/>
      <c r="G417" s="27" t="s">
        <v>30</v>
      </c>
      <c r="H417" s="25">
        <v>44804.66443287037</v>
      </c>
    </row>
    <row r="418" spans="1:8" x14ac:dyDescent="0.25">
      <c r="A418">
        <v>463</v>
      </c>
      <c r="B418" s="1">
        <v>44804</v>
      </c>
      <c r="C418" s="27">
        <v>16137777</v>
      </c>
      <c r="D418" s="27" t="s">
        <v>15</v>
      </c>
      <c r="E418" s="27" t="s">
        <v>390</v>
      </c>
      <c r="F418" s="27" t="s">
        <v>28</v>
      </c>
      <c r="G418" s="27" t="s">
        <v>29</v>
      </c>
      <c r="H418" s="25">
        <v>44803.566053240742</v>
      </c>
    </row>
    <row r="419" spans="1:8" x14ac:dyDescent="0.25">
      <c r="A419">
        <v>462</v>
      </c>
      <c r="B419" s="1">
        <v>44804</v>
      </c>
      <c r="C419" s="27">
        <v>16136070</v>
      </c>
      <c r="D419" s="27" t="s">
        <v>11</v>
      </c>
      <c r="E419" s="27" t="s">
        <v>423</v>
      </c>
      <c r="F419" s="27" t="s">
        <v>28</v>
      </c>
      <c r="G419" s="27" t="s">
        <v>29</v>
      </c>
      <c r="H419" s="25">
        <v>44803.387349537035</v>
      </c>
    </row>
    <row r="420" spans="1:8" x14ac:dyDescent="0.25">
      <c r="A420">
        <v>347</v>
      </c>
      <c r="B420" s="1">
        <v>44804</v>
      </c>
      <c r="C420" s="27">
        <v>16138062</v>
      </c>
      <c r="D420" s="27" t="s">
        <v>12</v>
      </c>
      <c r="E420" s="27" t="s">
        <v>214</v>
      </c>
      <c r="F420" s="27" t="s">
        <v>17</v>
      </c>
      <c r="G420" s="27" t="s">
        <v>30</v>
      </c>
      <c r="H420" s="25">
        <v>44803.600358796299</v>
      </c>
    </row>
    <row r="421" spans="1:8" x14ac:dyDescent="0.25">
      <c r="A421">
        <v>451</v>
      </c>
      <c r="B421" s="1">
        <v>44804</v>
      </c>
      <c r="C421" s="27">
        <v>16137949</v>
      </c>
      <c r="D421" s="27" t="s">
        <v>15</v>
      </c>
      <c r="E421" s="27" t="s">
        <v>422</v>
      </c>
      <c r="F421" s="27" t="s">
        <v>28</v>
      </c>
      <c r="G421" s="27" t="s">
        <v>29</v>
      </c>
      <c r="H421" s="25">
        <v>44803.578750000001</v>
      </c>
    </row>
    <row r="422" spans="1:8" x14ac:dyDescent="0.25">
      <c r="A422">
        <v>454</v>
      </c>
      <c r="B422" s="1">
        <v>44804</v>
      </c>
      <c r="C422" s="27">
        <v>16135556</v>
      </c>
      <c r="D422" s="27" t="s">
        <v>11</v>
      </c>
      <c r="E422" s="27" t="s">
        <v>65</v>
      </c>
      <c r="F422" s="27" t="s">
        <v>28</v>
      </c>
      <c r="G422" s="27" t="s">
        <v>29</v>
      </c>
      <c r="H422" s="25">
        <v>44803.349374999998</v>
      </c>
    </row>
    <row r="423" spans="1:8" x14ac:dyDescent="0.25">
      <c r="A423">
        <v>457</v>
      </c>
      <c r="B423" s="1">
        <v>44804</v>
      </c>
      <c r="C423" s="27">
        <v>16124404</v>
      </c>
      <c r="D423" s="27" t="s">
        <v>7</v>
      </c>
      <c r="E423" s="27" t="s">
        <v>420</v>
      </c>
      <c r="F423" s="27" t="s">
        <v>28</v>
      </c>
      <c r="G423" s="27" t="s">
        <v>29</v>
      </c>
      <c r="H423" s="25">
        <v>44799.542141203703</v>
      </c>
    </row>
    <row r="424" spans="1:8" x14ac:dyDescent="0.25">
      <c r="A424">
        <v>442</v>
      </c>
      <c r="B424" s="1">
        <v>44804</v>
      </c>
      <c r="C424" s="27">
        <v>16138010</v>
      </c>
      <c r="D424" s="27" t="s">
        <v>11</v>
      </c>
      <c r="E424" s="27" t="s">
        <v>409</v>
      </c>
      <c r="F424" s="27" t="s">
        <v>28</v>
      </c>
      <c r="G424" s="27" t="s">
        <v>29</v>
      </c>
      <c r="H424" s="25">
        <v>44803.583645833336</v>
      </c>
    </row>
    <row r="425" spans="1:8" x14ac:dyDescent="0.25">
      <c r="A425">
        <v>455</v>
      </c>
      <c r="B425" s="1">
        <v>44804</v>
      </c>
      <c r="C425" s="27">
        <v>16132698</v>
      </c>
      <c r="D425" s="27" t="s">
        <v>11</v>
      </c>
      <c r="E425" s="27" t="s">
        <v>402</v>
      </c>
      <c r="F425" s="27" t="s">
        <v>28</v>
      </c>
      <c r="G425" s="27" t="s">
        <v>29</v>
      </c>
      <c r="H425" s="25">
        <v>44802.580590277779</v>
      </c>
    </row>
    <row r="426" spans="1:8" x14ac:dyDescent="0.25">
      <c r="A426">
        <v>456</v>
      </c>
      <c r="B426" s="1">
        <v>44804</v>
      </c>
      <c r="C426" s="27">
        <v>16133546</v>
      </c>
      <c r="D426" s="27" t="s">
        <v>14</v>
      </c>
      <c r="E426" s="27" t="s">
        <v>407</v>
      </c>
      <c r="F426" s="27" t="s">
        <v>28</v>
      </c>
      <c r="G426" s="27" t="s">
        <v>29</v>
      </c>
      <c r="H426" s="25">
        <v>44802.688807870371</v>
      </c>
    </row>
    <row r="427" spans="1:8" x14ac:dyDescent="0.25">
      <c r="A427">
        <v>453</v>
      </c>
      <c r="B427" s="1">
        <v>44804</v>
      </c>
      <c r="C427" s="27">
        <v>16123909</v>
      </c>
      <c r="D427" s="27" t="s">
        <v>12</v>
      </c>
      <c r="E427" s="27" t="s">
        <v>419</v>
      </c>
      <c r="F427" s="27" t="s">
        <v>28</v>
      </c>
      <c r="G427" s="27" t="s">
        <v>29</v>
      </c>
      <c r="H427" s="25">
        <v>44799.558368055557</v>
      </c>
    </row>
    <row r="428" spans="1:8" x14ac:dyDescent="0.25">
      <c r="A428">
        <v>452</v>
      </c>
      <c r="B428" s="1">
        <v>44804</v>
      </c>
      <c r="C428" s="27">
        <v>16040853</v>
      </c>
      <c r="D428" s="27" t="s">
        <v>12</v>
      </c>
      <c r="E428" s="27" t="s">
        <v>418</v>
      </c>
      <c r="F428" s="27" t="s">
        <v>28</v>
      </c>
      <c r="G428" s="27" t="s">
        <v>29</v>
      </c>
      <c r="H428" s="25">
        <v>44799.557939814818</v>
      </c>
    </row>
    <row r="429" spans="1:8" x14ac:dyDescent="0.25">
      <c r="A429">
        <v>460</v>
      </c>
      <c r="B429" s="1">
        <v>44804</v>
      </c>
      <c r="C429" s="27">
        <v>16137896</v>
      </c>
      <c r="D429" s="27" t="s">
        <v>15</v>
      </c>
      <c r="E429" s="27" t="s">
        <v>399</v>
      </c>
      <c r="F429" s="27" t="s">
        <v>28</v>
      </c>
      <c r="G429" s="27" t="s">
        <v>29</v>
      </c>
      <c r="H429" s="25">
        <v>44803.574537037035</v>
      </c>
    </row>
    <row r="430" spans="1:8" x14ac:dyDescent="0.25">
      <c r="A430">
        <v>458</v>
      </c>
      <c r="B430" s="1">
        <v>44804</v>
      </c>
      <c r="C430" s="27">
        <v>16137807</v>
      </c>
      <c r="D430" s="27" t="s">
        <v>15</v>
      </c>
      <c r="E430" s="27" t="s">
        <v>406</v>
      </c>
      <c r="F430" s="27" t="s">
        <v>28</v>
      </c>
      <c r="G430" s="27" t="s">
        <v>29</v>
      </c>
      <c r="H430" s="25">
        <v>44803.568553240744</v>
      </c>
    </row>
    <row r="431" spans="1:8" x14ac:dyDescent="0.25">
      <c r="A431">
        <v>459</v>
      </c>
      <c r="B431" s="1">
        <v>44804</v>
      </c>
      <c r="C431" s="27">
        <v>16137846</v>
      </c>
      <c r="D431" s="27" t="s">
        <v>11</v>
      </c>
      <c r="E431" s="27" t="s">
        <v>421</v>
      </c>
      <c r="F431" s="27" t="s">
        <v>28</v>
      </c>
      <c r="G431" s="27" t="s">
        <v>29</v>
      </c>
      <c r="H431" s="25">
        <v>44803.572291666664</v>
      </c>
    </row>
    <row r="432" spans="1:8" x14ac:dyDescent="0.25">
      <c r="A432">
        <v>444</v>
      </c>
      <c r="B432" s="1">
        <v>44804</v>
      </c>
      <c r="C432" s="27">
        <v>16133831</v>
      </c>
      <c r="D432" s="27" t="s">
        <v>14</v>
      </c>
      <c r="E432" s="27" t="s">
        <v>410</v>
      </c>
      <c r="F432" s="27" t="s">
        <v>24</v>
      </c>
      <c r="G432" s="27" t="s">
        <v>29</v>
      </c>
      <c r="H432" s="25">
        <v>44803.639270833337</v>
      </c>
    </row>
    <row r="433" spans="1:8" x14ac:dyDescent="0.25">
      <c r="A433">
        <v>443</v>
      </c>
      <c r="B433" s="1">
        <v>44804</v>
      </c>
      <c r="C433" s="27">
        <v>16138311</v>
      </c>
      <c r="D433" s="27" t="s">
        <v>14</v>
      </c>
      <c r="E433" s="27" t="s">
        <v>383</v>
      </c>
      <c r="F433" s="27" t="s">
        <v>28</v>
      </c>
      <c r="G433" s="27" t="s">
        <v>29</v>
      </c>
      <c r="H433" s="25">
        <v>44803.638877314814</v>
      </c>
    </row>
    <row r="434" spans="1:8" x14ac:dyDescent="0.25">
      <c r="A434">
        <v>338</v>
      </c>
      <c r="B434" s="1">
        <v>44804</v>
      </c>
      <c r="C434" s="27">
        <v>16139007</v>
      </c>
      <c r="D434" s="27" t="s">
        <v>11</v>
      </c>
      <c r="E434" s="27" t="s">
        <v>243</v>
      </c>
      <c r="F434" s="27" t="s">
        <v>10</v>
      </c>
      <c r="G434" s="27" t="s">
        <v>30</v>
      </c>
      <c r="H434" s="25">
        <v>44799.57671296296</v>
      </c>
    </row>
    <row r="435" spans="1:8" x14ac:dyDescent="0.25">
      <c r="A435">
        <v>336</v>
      </c>
      <c r="B435" s="1">
        <v>44804</v>
      </c>
      <c r="C435" s="27">
        <v>16141527</v>
      </c>
      <c r="D435" s="27" t="s">
        <v>7</v>
      </c>
      <c r="E435" s="27" t="s">
        <v>241</v>
      </c>
      <c r="F435" s="27" t="s">
        <v>10</v>
      </c>
      <c r="G435" s="27" t="s">
        <v>30</v>
      </c>
      <c r="H435" s="25">
        <v>44804.40079861111</v>
      </c>
    </row>
    <row r="436" spans="1:8" x14ac:dyDescent="0.25">
      <c r="A436">
        <v>337</v>
      </c>
      <c r="B436" s="1">
        <v>44804</v>
      </c>
      <c r="C436" s="27">
        <v>16141734</v>
      </c>
      <c r="D436" s="27" t="s">
        <v>14</v>
      </c>
      <c r="E436" s="27" t="s">
        <v>242</v>
      </c>
      <c r="F436" s="27" t="s">
        <v>17</v>
      </c>
      <c r="G436" s="27" t="s">
        <v>30</v>
      </c>
      <c r="H436" s="25">
        <v>44804.419722222221</v>
      </c>
    </row>
    <row r="437" spans="1:8" x14ac:dyDescent="0.25">
      <c r="A437">
        <v>342</v>
      </c>
      <c r="B437" s="1">
        <v>44804</v>
      </c>
      <c r="C437" s="27">
        <v>16139319</v>
      </c>
      <c r="D437" s="27" t="s">
        <v>14</v>
      </c>
      <c r="E437" s="27" t="s">
        <v>247</v>
      </c>
      <c r="F437" s="27" t="s">
        <v>10</v>
      </c>
      <c r="G437" s="27" t="s">
        <v>30</v>
      </c>
      <c r="H437" s="25">
        <v>44803.737905092596</v>
      </c>
    </row>
    <row r="438" spans="1:8" x14ac:dyDescent="0.25">
      <c r="A438">
        <v>341</v>
      </c>
      <c r="B438" s="1">
        <v>44804</v>
      </c>
      <c r="C438" s="27">
        <v>16139272</v>
      </c>
      <c r="D438" s="27" t="s">
        <v>14</v>
      </c>
      <c r="E438" s="27" t="s">
        <v>246</v>
      </c>
      <c r="F438" s="27" t="s">
        <v>10</v>
      </c>
      <c r="G438" s="27" t="s">
        <v>30</v>
      </c>
      <c r="H438" s="25">
        <v>44803.727939814817</v>
      </c>
    </row>
    <row r="439" spans="1:8" x14ac:dyDescent="0.25">
      <c r="A439">
        <v>340</v>
      </c>
      <c r="B439" s="1">
        <v>44804</v>
      </c>
      <c r="C439" s="27">
        <v>16139246</v>
      </c>
      <c r="D439" s="27" t="s">
        <v>14</v>
      </c>
      <c r="E439" s="27" t="s">
        <v>245</v>
      </c>
      <c r="F439" s="27" t="s">
        <v>10</v>
      </c>
      <c r="G439" s="27" t="s">
        <v>30</v>
      </c>
      <c r="H439" s="25">
        <v>44803.725046296298</v>
      </c>
    </row>
    <row r="440" spans="1:8" x14ac:dyDescent="0.25">
      <c r="A440">
        <v>339</v>
      </c>
      <c r="B440" s="1">
        <v>44804</v>
      </c>
      <c r="C440" s="27">
        <v>16133145</v>
      </c>
      <c r="D440" s="27" t="s">
        <v>11</v>
      </c>
      <c r="E440" s="27" t="s">
        <v>244</v>
      </c>
      <c r="F440" s="27" t="s">
        <v>10</v>
      </c>
      <c r="G440" s="27" t="s">
        <v>30</v>
      </c>
      <c r="H440" s="25">
        <v>44803.620023148149</v>
      </c>
    </row>
    <row r="441" spans="1:8" x14ac:dyDescent="0.25">
      <c r="A441">
        <v>441</v>
      </c>
      <c r="B441" s="1">
        <v>44804</v>
      </c>
      <c r="C441" s="27">
        <v>16141258</v>
      </c>
      <c r="D441" s="27" t="s">
        <v>14</v>
      </c>
      <c r="E441" s="27" t="s">
        <v>398</v>
      </c>
      <c r="F441" s="27" t="s">
        <v>28</v>
      </c>
      <c r="G441" s="27" t="s">
        <v>29</v>
      </c>
      <c r="H441" s="25">
        <v>44804.381747685184</v>
      </c>
    </row>
    <row r="442" spans="1:8" x14ac:dyDescent="0.25">
      <c r="A442">
        <v>440</v>
      </c>
      <c r="B442" s="1">
        <v>44804</v>
      </c>
      <c r="C442" s="27">
        <v>16140931</v>
      </c>
      <c r="D442" s="27" t="s">
        <v>15</v>
      </c>
      <c r="E442" s="27" t="s">
        <v>408</v>
      </c>
      <c r="F442" s="27" t="s">
        <v>24</v>
      </c>
      <c r="G442" s="27" t="s">
        <v>29</v>
      </c>
      <c r="H442" s="25">
        <v>44804.361319444448</v>
      </c>
    </row>
    <row r="443" spans="1:8" x14ac:dyDescent="0.25">
      <c r="A443">
        <v>439</v>
      </c>
      <c r="B443" s="1">
        <v>44804</v>
      </c>
      <c r="C443" s="27">
        <v>16138364</v>
      </c>
      <c r="D443" s="27" t="s">
        <v>14</v>
      </c>
      <c r="E443" s="27" t="s">
        <v>407</v>
      </c>
      <c r="F443" s="27" t="s">
        <v>24</v>
      </c>
      <c r="G443" s="27" t="s">
        <v>29</v>
      </c>
      <c r="H443" s="25">
        <v>44803.640289351853</v>
      </c>
    </row>
    <row r="444" spans="1:8" x14ac:dyDescent="0.25">
      <c r="A444">
        <v>330</v>
      </c>
      <c r="B444" s="1">
        <v>44804</v>
      </c>
      <c r="C444" s="27">
        <v>16124581</v>
      </c>
      <c r="D444" s="27" t="s">
        <v>7</v>
      </c>
      <c r="E444" s="27" t="s">
        <v>234</v>
      </c>
      <c r="F444" s="27" t="s">
        <v>10</v>
      </c>
      <c r="G444" s="27" t="s">
        <v>30</v>
      </c>
      <c r="H444" s="25">
        <v>44799.556863425925</v>
      </c>
    </row>
    <row r="445" spans="1:8" x14ac:dyDescent="0.25">
      <c r="A445">
        <v>331</v>
      </c>
      <c r="B445" s="1">
        <v>44804</v>
      </c>
      <c r="C445" s="27">
        <v>16126531</v>
      </c>
      <c r="D445" s="27" t="s">
        <v>7</v>
      </c>
      <c r="E445" s="27" t="s">
        <v>235</v>
      </c>
      <c r="F445" s="27" t="s">
        <v>18</v>
      </c>
      <c r="G445" s="27" t="s">
        <v>30</v>
      </c>
      <c r="H445" s="25">
        <v>44799.669016203705</v>
      </c>
    </row>
    <row r="446" spans="1:8" x14ac:dyDescent="0.25">
      <c r="A446">
        <v>332</v>
      </c>
      <c r="B446" s="1">
        <v>44804</v>
      </c>
      <c r="C446" s="27">
        <v>16131170</v>
      </c>
      <c r="D446" s="27" t="s">
        <v>9</v>
      </c>
      <c r="E446" s="27" t="s">
        <v>236</v>
      </c>
      <c r="F446" s="27" t="s">
        <v>10</v>
      </c>
      <c r="G446" s="27" t="s">
        <v>30</v>
      </c>
      <c r="H446" s="25">
        <v>44802.407048611109</v>
      </c>
    </row>
    <row r="447" spans="1:8" x14ac:dyDescent="0.25">
      <c r="A447">
        <v>446</v>
      </c>
      <c r="B447" s="1">
        <v>44804</v>
      </c>
      <c r="C447" s="27">
        <v>16142884</v>
      </c>
      <c r="D447" s="27" t="s">
        <v>11</v>
      </c>
      <c r="E447" s="27" t="s">
        <v>413</v>
      </c>
      <c r="F447" s="27" t="s">
        <v>18</v>
      </c>
      <c r="G447" s="27" t="s">
        <v>29</v>
      </c>
      <c r="H447" s="25">
        <v>44804.573622685188</v>
      </c>
    </row>
    <row r="448" spans="1:8" x14ac:dyDescent="0.25">
      <c r="A448">
        <v>445</v>
      </c>
      <c r="B448" s="1">
        <v>44804</v>
      </c>
      <c r="C448" s="27">
        <v>16142194</v>
      </c>
      <c r="D448" s="27" t="s">
        <v>15</v>
      </c>
      <c r="E448" s="27" t="s">
        <v>412</v>
      </c>
      <c r="F448" s="27" t="s">
        <v>17</v>
      </c>
      <c r="G448" s="27" t="s">
        <v>29</v>
      </c>
      <c r="H448" s="25">
        <v>44804.467905092592</v>
      </c>
    </row>
    <row r="449" spans="1:8" x14ac:dyDescent="0.25">
      <c r="A449">
        <v>329</v>
      </c>
      <c r="B449" s="1">
        <v>44804</v>
      </c>
      <c r="C449" s="27">
        <v>16138069</v>
      </c>
      <c r="D449" s="27" t="s">
        <v>12</v>
      </c>
      <c r="E449" s="27" t="s">
        <v>239</v>
      </c>
      <c r="F449" s="27" t="s">
        <v>10</v>
      </c>
      <c r="G449" s="27" t="s">
        <v>30</v>
      </c>
      <c r="H449" s="25">
        <v>44803.602106481485</v>
      </c>
    </row>
    <row r="450" spans="1:8" x14ac:dyDescent="0.25">
      <c r="A450">
        <v>344</v>
      </c>
      <c r="B450" s="1">
        <v>44804</v>
      </c>
      <c r="C450" s="27">
        <v>16142191</v>
      </c>
      <c r="D450" s="27" t="s">
        <v>14</v>
      </c>
      <c r="E450" s="27" t="s">
        <v>249</v>
      </c>
      <c r="F450" s="27" t="s">
        <v>17</v>
      </c>
      <c r="G450" s="27" t="s">
        <v>30</v>
      </c>
      <c r="H450" s="25">
        <v>44804.467546296299</v>
      </c>
    </row>
    <row r="451" spans="1:8" x14ac:dyDescent="0.25">
      <c r="A451">
        <v>343</v>
      </c>
      <c r="B451" s="1">
        <v>44804</v>
      </c>
      <c r="C451" s="27">
        <v>16139327</v>
      </c>
      <c r="D451" s="27" t="s">
        <v>14</v>
      </c>
      <c r="E451" s="27" t="s">
        <v>248</v>
      </c>
      <c r="F451" s="27" t="s">
        <v>31</v>
      </c>
      <c r="G451" s="27" t="s">
        <v>30</v>
      </c>
      <c r="H451" s="25">
        <v>44803.739594907405</v>
      </c>
    </row>
    <row r="452" spans="1:8" x14ac:dyDescent="0.25">
      <c r="A452">
        <v>335</v>
      </c>
      <c r="B452" s="1">
        <v>44804</v>
      </c>
      <c r="C452" s="27">
        <v>16138468</v>
      </c>
      <c r="D452" s="27" t="s">
        <v>7</v>
      </c>
      <c r="E452" s="27" t="s">
        <v>240</v>
      </c>
      <c r="F452" s="27" t="s">
        <v>31</v>
      </c>
      <c r="G452" s="27" t="s">
        <v>30</v>
      </c>
      <c r="H452" s="25">
        <v>44803.628368055557</v>
      </c>
    </row>
    <row r="453" spans="1:8" x14ac:dyDescent="0.25">
      <c r="A453">
        <v>333</v>
      </c>
      <c r="B453" s="1">
        <v>44804</v>
      </c>
      <c r="C453" s="27">
        <v>16138234</v>
      </c>
      <c r="D453" s="27" t="s">
        <v>15</v>
      </c>
      <c r="E453" s="27" t="s">
        <v>237</v>
      </c>
      <c r="F453" s="27" t="s">
        <v>10</v>
      </c>
      <c r="G453" s="27" t="s">
        <v>30</v>
      </c>
      <c r="H453" s="25">
        <v>44803.576064814813</v>
      </c>
    </row>
    <row r="454" spans="1:8" x14ac:dyDescent="0.25">
      <c r="A454">
        <v>334</v>
      </c>
      <c r="B454" s="1">
        <v>44804</v>
      </c>
      <c r="C454" s="27">
        <v>16138126</v>
      </c>
      <c r="D454" s="27" t="s">
        <v>9</v>
      </c>
      <c r="E454" s="27" t="s">
        <v>238</v>
      </c>
      <c r="F454" s="27" t="s">
        <v>18</v>
      </c>
      <c r="G454" s="27" t="s">
        <v>30</v>
      </c>
      <c r="H454" s="25">
        <v>44803.59584490741</v>
      </c>
    </row>
    <row r="455" spans="1:8" x14ac:dyDescent="0.25">
      <c r="A455">
        <v>345</v>
      </c>
      <c r="B455" s="1">
        <v>44804</v>
      </c>
      <c r="C455" s="27">
        <v>16143040</v>
      </c>
      <c r="D455" s="27" t="s">
        <v>11</v>
      </c>
      <c r="E455" s="27" t="s">
        <v>228</v>
      </c>
      <c r="F455" s="27"/>
      <c r="G455" s="27" t="s">
        <v>30</v>
      </c>
      <c r="H455" s="25">
        <v>44804.584456018521</v>
      </c>
    </row>
    <row r="456" spans="1:8" x14ac:dyDescent="0.25">
      <c r="A456">
        <v>655</v>
      </c>
      <c r="B456" s="1">
        <v>44804</v>
      </c>
      <c r="C456" s="27">
        <v>16135926</v>
      </c>
      <c r="D456" s="27" t="s">
        <v>27</v>
      </c>
      <c r="E456" s="27" t="s">
        <v>160</v>
      </c>
      <c r="F456" s="27" t="s">
        <v>10</v>
      </c>
      <c r="G456" s="27" t="s">
        <v>20</v>
      </c>
      <c r="H456" s="25">
        <v>44803.377986111111</v>
      </c>
    </row>
    <row r="457" spans="1:8" x14ac:dyDescent="0.25">
      <c r="A457">
        <v>201</v>
      </c>
      <c r="B457" s="1">
        <v>44804</v>
      </c>
      <c r="C457" s="27">
        <v>16137758</v>
      </c>
      <c r="D457" s="27" t="s">
        <v>7</v>
      </c>
      <c r="E457" s="27" t="s">
        <v>305</v>
      </c>
      <c r="F457" s="27" t="s">
        <v>10</v>
      </c>
      <c r="G457" s="27" t="s">
        <v>32</v>
      </c>
      <c r="H457" s="25">
        <v>44803.563807870371</v>
      </c>
    </row>
    <row r="458" spans="1:8" x14ac:dyDescent="0.25">
      <c r="A458">
        <v>611</v>
      </c>
      <c r="B458" s="1">
        <v>44804</v>
      </c>
      <c r="C458" s="27">
        <v>16125907</v>
      </c>
      <c r="D458" s="27" t="s">
        <v>22</v>
      </c>
      <c r="E458" s="27" t="s">
        <v>122</v>
      </c>
      <c r="F458" s="27" t="s">
        <v>17</v>
      </c>
      <c r="G458" s="27" t="s">
        <v>20</v>
      </c>
      <c r="H458" s="25">
        <v>44799.638206018521</v>
      </c>
    </row>
    <row r="459" spans="1:8" x14ac:dyDescent="0.25">
      <c r="A459">
        <v>629</v>
      </c>
      <c r="B459" s="1">
        <v>44804</v>
      </c>
      <c r="C459" s="27">
        <v>16132901</v>
      </c>
      <c r="D459" s="27" t="s">
        <v>19</v>
      </c>
      <c r="E459" s="27" t="s">
        <v>137</v>
      </c>
      <c r="F459" s="27" t="s">
        <v>17</v>
      </c>
      <c r="G459" s="27" t="s">
        <v>20</v>
      </c>
      <c r="H459" s="25">
        <v>44802.594143518516</v>
      </c>
    </row>
    <row r="460" spans="1:8" x14ac:dyDescent="0.25">
      <c r="A460">
        <v>196</v>
      </c>
      <c r="B460" s="1">
        <v>44804</v>
      </c>
      <c r="C460" s="27">
        <v>16138961</v>
      </c>
      <c r="D460" s="27" t="s">
        <v>14</v>
      </c>
      <c r="E460" s="27" t="s">
        <v>301</v>
      </c>
      <c r="F460" s="27" t="s">
        <v>10</v>
      </c>
      <c r="G460" s="27" t="s">
        <v>32</v>
      </c>
      <c r="H460" s="25">
        <v>44803.642893518518</v>
      </c>
    </row>
    <row r="461" spans="1:8" x14ac:dyDescent="0.25">
      <c r="A461">
        <v>195</v>
      </c>
      <c r="B461" s="1">
        <v>44804</v>
      </c>
      <c r="C461" s="27">
        <v>16138827</v>
      </c>
      <c r="D461" s="27" t="s">
        <v>7</v>
      </c>
      <c r="E461" s="27" t="s">
        <v>300</v>
      </c>
      <c r="F461" s="27" t="s">
        <v>28</v>
      </c>
      <c r="G461" s="27" t="s">
        <v>32</v>
      </c>
      <c r="H461" s="25">
        <v>44803.66207175926</v>
      </c>
    </row>
    <row r="462" spans="1:8" x14ac:dyDescent="0.25">
      <c r="A462">
        <v>200</v>
      </c>
      <c r="B462" s="1">
        <v>44804</v>
      </c>
      <c r="C462" s="27">
        <v>16138029</v>
      </c>
      <c r="D462" s="27" t="s">
        <v>11</v>
      </c>
      <c r="E462" s="27" t="s">
        <v>54</v>
      </c>
      <c r="F462" s="27" t="s">
        <v>10</v>
      </c>
      <c r="G462" s="27" t="s">
        <v>32</v>
      </c>
      <c r="H462" s="25">
        <v>44803.586886574078</v>
      </c>
    </row>
    <row r="463" spans="1:8" x14ac:dyDescent="0.25">
      <c r="A463">
        <v>199</v>
      </c>
      <c r="B463" s="1">
        <v>44804</v>
      </c>
      <c r="C463" s="27">
        <v>16138123</v>
      </c>
      <c r="D463" s="27" t="s">
        <v>12</v>
      </c>
      <c r="E463" s="27" t="s">
        <v>304</v>
      </c>
      <c r="F463" s="27" t="s">
        <v>28</v>
      </c>
      <c r="G463" s="27" t="s">
        <v>32</v>
      </c>
      <c r="H463" s="25">
        <v>44803.596400462964</v>
      </c>
    </row>
    <row r="464" spans="1:8" x14ac:dyDescent="0.25">
      <c r="A464">
        <v>20</v>
      </c>
      <c r="B464" s="1">
        <v>44804</v>
      </c>
      <c r="C464" s="27">
        <v>16137703</v>
      </c>
      <c r="D464" s="27" t="s">
        <v>7</v>
      </c>
      <c r="E464" s="27" t="s">
        <v>471</v>
      </c>
      <c r="F464" s="27" t="s">
        <v>10</v>
      </c>
      <c r="G464" s="27" t="s">
        <v>8</v>
      </c>
      <c r="H464" s="25">
        <v>44803.559074074074</v>
      </c>
    </row>
    <row r="465" spans="1:8" x14ac:dyDescent="0.25">
      <c r="A465">
        <v>19</v>
      </c>
      <c r="B465" s="1">
        <v>44804</v>
      </c>
      <c r="C465" s="27">
        <v>16139067</v>
      </c>
      <c r="D465" s="27" t="s">
        <v>7</v>
      </c>
      <c r="E465" s="27" t="s">
        <v>470</v>
      </c>
      <c r="F465" s="27" t="s">
        <v>10</v>
      </c>
      <c r="G465" s="27" t="s">
        <v>8</v>
      </c>
      <c r="H465" s="25">
        <v>44803.554872685185</v>
      </c>
    </row>
    <row r="466" spans="1:8" x14ac:dyDescent="0.25">
      <c r="A466">
        <v>22</v>
      </c>
      <c r="B466" s="1">
        <v>44804</v>
      </c>
      <c r="C466" s="27">
        <v>16137991</v>
      </c>
      <c r="D466" s="27" t="s">
        <v>7</v>
      </c>
      <c r="E466" s="27" t="s">
        <v>473</v>
      </c>
      <c r="F466" s="27" t="s">
        <v>10</v>
      </c>
      <c r="G466" s="27" t="s">
        <v>8</v>
      </c>
      <c r="H466" s="25">
        <v>44803.582037037035</v>
      </c>
    </row>
    <row r="467" spans="1:8" x14ac:dyDescent="0.25">
      <c r="A467">
        <v>21</v>
      </c>
      <c r="B467" s="1">
        <v>44804</v>
      </c>
      <c r="C467" s="27">
        <v>16137732</v>
      </c>
      <c r="D467" s="27" t="s">
        <v>7</v>
      </c>
      <c r="E467" s="27" t="s">
        <v>472</v>
      </c>
      <c r="F467" s="27" t="s">
        <v>10</v>
      </c>
      <c r="G467" s="27" t="s">
        <v>8</v>
      </c>
      <c r="H467" s="25">
        <v>44803.56177083333</v>
      </c>
    </row>
    <row r="468" spans="1:8" x14ac:dyDescent="0.25">
      <c r="A468">
        <v>605</v>
      </c>
      <c r="B468" s="1">
        <v>44804</v>
      </c>
      <c r="C468" s="27">
        <v>16125382</v>
      </c>
      <c r="D468" s="27" t="s">
        <v>22</v>
      </c>
      <c r="E468" s="27" t="s">
        <v>117</v>
      </c>
      <c r="F468" s="27" t="s">
        <v>13</v>
      </c>
      <c r="G468" s="27" t="s">
        <v>20</v>
      </c>
      <c r="H468" s="25">
        <v>44799.615902777776</v>
      </c>
    </row>
    <row r="469" spans="1:8" x14ac:dyDescent="0.25">
      <c r="A469">
        <v>610</v>
      </c>
      <c r="B469" s="1">
        <v>44804</v>
      </c>
      <c r="C469" s="27">
        <v>16125849</v>
      </c>
      <c r="D469" s="27" t="s">
        <v>22</v>
      </c>
      <c r="E469" s="27" t="s">
        <v>121</v>
      </c>
      <c r="F469" s="27" t="s">
        <v>10</v>
      </c>
      <c r="G469" s="27" t="s">
        <v>20</v>
      </c>
      <c r="H469" s="25">
        <v>44799.639120370368</v>
      </c>
    </row>
    <row r="470" spans="1:8" x14ac:dyDescent="0.25">
      <c r="A470">
        <v>18</v>
      </c>
      <c r="B470" s="1">
        <v>44804</v>
      </c>
      <c r="C470" s="27">
        <v>16137632</v>
      </c>
      <c r="D470" s="27" t="s">
        <v>11</v>
      </c>
      <c r="E470" s="27" t="s">
        <v>463</v>
      </c>
      <c r="F470" s="27" t="s">
        <v>16</v>
      </c>
      <c r="G470" s="27" t="s">
        <v>8</v>
      </c>
      <c r="H470" s="25">
        <v>44803.554629629631</v>
      </c>
    </row>
    <row r="471" spans="1:8" x14ac:dyDescent="0.25">
      <c r="A471">
        <v>17</v>
      </c>
      <c r="B471" s="1">
        <v>44804</v>
      </c>
      <c r="C471" s="27">
        <v>16137418</v>
      </c>
      <c r="D471" s="27" t="s">
        <v>7</v>
      </c>
      <c r="E471" s="27" t="s">
        <v>469</v>
      </c>
      <c r="F471" s="27" t="s">
        <v>16</v>
      </c>
      <c r="G471" s="27" t="s">
        <v>8</v>
      </c>
      <c r="H471" s="25">
        <v>44803.524212962962</v>
      </c>
    </row>
    <row r="472" spans="1:8" x14ac:dyDescent="0.25">
      <c r="A472">
        <v>193</v>
      </c>
      <c r="B472" s="1">
        <v>44804</v>
      </c>
      <c r="C472" s="27">
        <v>16141157</v>
      </c>
      <c r="D472" s="27" t="s">
        <v>7</v>
      </c>
      <c r="E472" s="27" t="s">
        <v>298</v>
      </c>
      <c r="F472" s="27" t="s">
        <v>28</v>
      </c>
      <c r="G472" s="27" t="s">
        <v>32</v>
      </c>
      <c r="H472" s="25">
        <v>44804.37431712963</v>
      </c>
    </row>
    <row r="473" spans="1:8" x14ac:dyDescent="0.25">
      <c r="A473">
        <v>670</v>
      </c>
      <c r="B473" s="1">
        <v>44804</v>
      </c>
      <c r="C473" s="27">
        <v>16138219</v>
      </c>
      <c r="D473" s="27" t="s">
        <v>23</v>
      </c>
      <c r="E473" s="27" t="s">
        <v>171</v>
      </c>
      <c r="F473" s="27" t="s">
        <v>10</v>
      </c>
      <c r="G473" s="27" t="s">
        <v>20</v>
      </c>
      <c r="H473" s="25">
        <v>44803.606608796297</v>
      </c>
    </row>
    <row r="474" spans="1:8" x14ac:dyDescent="0.25">
      <c r="A474">
        <v>671</v>
      </c>
      <c r="B474" s="1">
        <v>44804</v>
      </c>
      <c r="C474" s="27">
        <v>16139070</v>
      </c>
      <c r="D474" s="27" t="s">
        <v>23</v>
      </c>
      <c r="E474" s="27" t="s">
        <v>172</v>
      </c>
      <c r="F474" s="27" t="s">
        <v>10</v>
      </c>
      <c r="G474" s="27" t="s">
        <v>20</v>
      </c>
      <c r="H474" s="25">
        <v>44803.690752314818</v>
      </c>
    </row>
    <row r="475" spans="1:8" x14ac:dyDescent="0.25">
      <c r="A475">
        <v>668</v>
      </c>
      <c r="B475" s="1">
        <v>44804</v>
      </c>
      <c r="C475" s="27">
        <v>16137872</v>
      </c>
      <c r="D475" s="27" t="s">
        <v>22</v>
      </c>
      <c r="E475" s="27" t="s">
        <v>170</v>
      </c>
      <c r="F475" s="27" t="s">
        <v>21</v>
      </c>
      <c r="G475" s="27" t="s">
        <v>20</v>
      </c>
      <c r="H475" s="25">
        <v>44803.573298611111</v>
      </c>
    </row>
    <row r="476" spans="1:8" x14ac:dyDescent="0.25">
      <c r="A476">
        <v>669</v>
      </c>
      <c r="B476" s="1">
        <v>44804</v>
      </c>
      <c r="C476" s="27">
        <v>16137877</v>
      </c>
      <c r="D476" s="27" t="s">
        <v>25</v>
      </c>
      <c r="E476" s="27" t="s">
        <v>53</v>
      </c>
      <c r="F476" s="27" t="s">
        <v>17</v>
      </c>
      <c r="G476" s="27" t="s">
        <v>20</v>
      </c>
      <c r="H476" s="25">
        <v>44803.574386574073</v>
      </c>
    </row>
    <row r="477" spans="1:8" x14ac:dyDescent="0.25">
      <c r="A477">
        <v>675</v>
      </c>
      <c r="B477" s="1">
        <v>44804</v>
      </c>
      <c r="C477" s="27">
        <v>16141631</v>
      </c>
      <c r="D477" s="27" t="s">
        <v>23</v>
      </c>
      <c r="E477" s="27" t="s">
        <v>176</v>
      </c>
      <c r="F477" s="27" t="s">
        <v>10</v>
      </c>
      <c r="G477" s="27" t="s">
        <v>20</v>
      </c>
      <c r="H477" s="25">
        <v>44804.407835648148</v>
      </c>
    </row>
    <row r="478" spans="1:8" x14ac:dyDescent="0.25">
      <c r="A478">
        <v>676</v>
      </c>
      <c r="B478" s="1">
        <v>44804</v>
      </c>
      <c r="C478" s="27">
        <v>16142407</v>
      </c>
      <c r="D478" s="27" t="s">
        <v>23</v>
      </c>
      <c r="E478" s="27" t="s">
        <v>177</v>
      </c>
      <c r="F478" s="27" t="s">
        <v>10</v>
      </c>
      <c r="G478" s="27" t="s">
        <v>20</v>
      </c>
      <c r="H478" s="25">
        <v>44804.508333333331</v>
      </c>
    </row>
    <row r="479" spans="1:8" x14ac:dyDescent="0.25">
      <c r="A479">
        <v>673</v>
      </c>
      <c r="B479" s="1">
        <v>44804</v>
      </c>
      <c r="C479" s="27">
        <v>16141268</v>
      </c>
      <c r="D479" s="27" t="s">
        <v>23</v>
      </c>
      <c r="E479" s="27" t="s">
        <v>174</v>
      </c>
      <c r="F479" s="27" t="s">
        <v>17</v>
      </c>
      <c r="G479" s="27" t="s">
        <v>20</v>
      </c>
      <c r="H479" s="25">
        <v>44804.38144675926</v>
      </c>
    </row>
    <row r="480" spans="1:8" x14ac:dyDescent="0.25">
      <c r="A480">
        <v>674</v>
      </c>
      <c r="B480" s="1">
        <v>44804</v>
      </c>
      <c r="C480" s="27">
        <v>16141418</v>
      </c>
      <c r="D480" s="27" t="s">
        <v>23</v>
      </c>
      <c r="E480" s="27" t="s">
        <v>175</v>
      </c>
      <c r="F480" s="27" t="s">
        <v>10</v>
      </c>
      <c r="G480" s="27" t="s">
        <v>20</v>
      </c>
      <c r="H480" s="25">
        <v>44804.392025462963</v>
      </c>
    </row>
    <row r="481" spans="1:8" x14ac:dyDescent="0.25">
      <c r="A481">
        <v>662</v>
      </c>
      <c r="B481" s="1">
        <v>44804</v>
      </c>
      <c r="C481" s="27">
        <v>16137711</v>
      </c>
      <c r="D481" s="27" t="s">
        <v>22</v>
      </c>
      <c r="E481" s="27" t="s">
        <v>167</v>
      </c>
      <c r="F481" s="27" t="s">
        <v>10</v>
      </c>
      <c r="G481" s="27" t="s">
        <v>20</v>
      </c>
      <c r="H481" s="25">
        <v>44803.559444444443</v>
      </c>
    </row>
    <row r="482" spans="1:8" x14ac:dyDescent="0.25">
      <c r="A482">
        <v>663</v>
      </c>
      <c r="B482" s="1">
        <v>44804</v>
      </c>
      <c r="C482" s="27">
        <v>16137726</v>
      </c>
      <c r="D482" s="27" t="s">
        <v>22</v>
      </c>
      <c r="E482" s="27" t="s">
        <v>168</v>
      </c>
      <c r="F482" s="27" t="s">
        <v>10</v>
      </c>
      <c r="G482" s="27" t="s">
        <v>20</v>
      </c>
      <c r="H482" s="25">
        <v>44803.560972222222</v>
      </c>
    </row>
    <row r="483" spans="1:8" x14ac:dyDescent="0.25">
      <c r="A483">
        <v>190</v>
      </c>
      <c r="B483" s="1">
        <v>44804</v>
      </c>
      <c r="C483" s="27">
        <v>16143004</v>
      </c>
      <c r="D483" s="27" t="s">
        <v>14</v>
      </c>
      <c r="E483" s="27" t="s">
        <v>295</v>
      </c>
      <c r="F483" s="27" t="s">
        <v>10</v>
      </c>
      <c r="G483" s="27" t="s">
        <v>32</v>
      </c>
      <c r="H483" s="25">
        <v>44804.580567129633</v>
      </c>
    </row>
    <row r="484" spans="1:8" x14ac:dyDescent="0.25">
      <c r="A484">
        <v>661</v>
      </c>
      <c r="B484" s="1">
        <v>44804</v>
      </c>
      <c r="C484" s="27">
        <v>16137283</v>
      </c>
      <c r="D484" s="27" t="s">
        <v>23</v>
      </c>
      <c r="E484" s="27" t="s">
        <v>166</v>
      </c>
      <c r="F484" s="27" t="s">
        <v>10</v>
      </c>
      <c r="G484" s="27" t="s">
        <v>20</v>
      </c>
      <c r="H484" s="25">
        <v>44803.498333333337</v>
      </c>
    </row>
    <row r="485" spans="1:8" x14ac:dyDescent="0.25">
      <c r="A485">
        <v>666</v>
      </c>
      <c r="B485" s="1">
        <v>44804</v>
      </c>
      <c r="C485" s="27">
        <v>16137835</v>
      </c>
      <c r="D485" s="27" t="s">
        <v>25</v>
      </c>
      <c r="E485" s="27" t="s">
        <v>169</v>
      </c>
      <c r="F485" s="27" t="s">
        <v>17</v>
      </c>
      <c r="G485" s="27" t="s">
        <v>20</v>
      </c>
      <c r="H485" s="25">
        <v>44803.573564814818</v>
      </c>
    </row>
    <row r="486" spans="1:8" x14ac:dyDescent="0.25">
      <c r="A486">
        <v>667</v>
      </c>
      <c r="B486" s="1">
        <v>44804</v>
      </c>
      <c r="C486" s="27">
        <v>16137850</v>
      </c>
      <c r="D486" s="27" t="s">
        <v>25</v>
      </c>
      <c r="E486" s="27" t="s">
        <v>133</v>
      </c>
      <c r="F486" s="27" t="s">
        <v>10</v>
      </c>
      <c r="G486" s="27" t="s">
        <v>20</v>
      </c>
      <c r="H486" s="25">
        <v>44803.574016203704</v>
      </c>
    </row>
    <row r="487" spans="1:8" x14ac:dyDescent="0.25">
      <c r="A487">
        <v>664</v>
      </c>
      <c r="B487" s="1">
        <v>44804</v>
      </c>
      <c r="C487" s="27">
        <v>16137764</v>
      </c>
      <c r="D487" s="27" t="s">
        <v>22</v>
      </c>
      <c r="E487" s="27" t="s">
        <v>136</v>
      </c>
      <c r="F487" s="27" t="s">
        <v>10</v>
      </c>
      <c r="G487" s="27" t="s">
        <v>20</v>
      </c>
      <c r="H487" s="25">
        <v>44803.564803240741</v>
      </c>
    </row>
    <row r="488" spans="1:8" x14ac:dyDescent="0.25">
      <c r="A488">
        <v>665</v>
      </c>
      <c r="B488" s="1">
        <v>44804</v>
      </c>
      <c r="C488" s="27">
        <v>16137786</v>
      </c>
      <c r="D488" s="27" t="s">
        <v>22</v>
      </c>
      <c r="E488" s="27" t="s">
        <v>81</v>
      </c>
      <c r="F488" s="27" t="s">
        <v>10</v>
      </c>
      <c r="G488" s="27" t="s">
        <v>20</v>
      </c>
      <c r="H488" s="25">
        <v>44803.567037037035</v>
      </c>
    </row>
    <row r="489" spans="1:8" x14ac:dyDescent="0.25">
      <c r="A489">
        <v>138</v>
      </c>
      <c r="B489" s="1">
        <v>44804</v>
      </c>
      <c r="C489" s="27">
        <v>16138038</v>
      </c>
      <c r="D489" s="27" t="s">
        <v>12</v>
      </c>
      <c r="E489" s="27" t="s">
        <v>351</v>
      </c>
      <c r="F489" s="27" t="s">
        <v>10</v>
      </c>
      <c r="G489" s="27" t="s">
        <v>33</v>
      </c>
      <c r="H489" s="25">
        <v>44803.608020833337</v>
      </c>
    </row>
    <row r="490" spans="1:8" x14ac:dyDescent="0.25">
      <c r="A490">
        <v>139</v>
      </c>
      <c r="B490" s="1">
        <v>44804</v>
      </c>
      <c r="C490" s="27">
        <v>16138050</v>
      </c>
      <c r="D490" s="27" t="s">
        <v>12</v>
      </c>
      <c r="E490" s="27" t="s">
        <v>352</v>
      </c>
      <c r="F490" s="27" t="s">
        <v>10</v>
      </c>
      <c r="G490" s="27" t="s">
        <v>33</v>
      </c>
      <c r="H490" s="25">
        <v>44803.608287037037</v>
      </c>
    </row>
    <row r="491" spans="1:8" x14ac:dyDescent="0.25">
      <c r="A491">
        <v>136</v>
      </c>
      <c r="B491" s="1">
        <v>44804</v>
      </c>
      <c r="C491" s="27">
        <v>16137961</v>
      </c>
      <c r="D491" s="27" t="s">
        <v>12</v>
      </c>
      <c r="E491" s="27" t="s">
        <v>57</v>
      </c>
      <c r="F491" s="27" t="s">
        <v>10</v>
      </c>
      <c r="G491" s="27" t="s">
        <v>33</v>
      </c>
      <c r="H491" s="25">
        <v>44803.607245370367</v>
      </c>
    </row>
    <row r="492" spans="1:8" x14ac:dyDescent="0.25">
      <c r="A492">
        <v>137</v>
      </c>
      <c r="B492" s="1">
        <v>44804</v>
      </c>
      <c r="C492" s="27">
        <v>16138005</v>
      </c>
      <c r="D492" s="27" t="s">
        <v>12</v>
      </c>
      <c r="E492" s="27" t="s">
        <v>350</v>
      </c>
      <c r="F492" s="27" t="s">
        <v>10</v>
      </c>
      <c r="G492" s="27" t="s">
        <v>33</v>
      </c>
      <c r="H492" s="25">
        <v>44803.607569444444</v>
      </c>
    </row>
    <row r="493" spans="1:8" x14ac:dyDescent="0.25">
      <c r="A493">
        <v>142</v>
      </c>
      <c r="B493" s="1">
        <v>44804</v>
      </c>
      <c r="C493" s="27">
        <v>16142310</v>
      </c>
      <c r="D493" s="27" t="s">
        <v>14</v>
      </c>
      <c r="E493" s="27" t="s">
        <v>354</v>
      </c>
      <c r="F493" s="27" t="s">
        <v>10</v>
      </c>
      <c r="G493" s="27" t="s">
        <v>33</v>
      </c>
      <c r="H493" s="25">
        <v>44804.488703703704</v>
      </c>
    </row>
    <row r="494" spans="1:8" x14ac:dyDescent="0.25">
      <c r="A494">
        <v>194</v>
      </c>
      <c r="B494" s="1">
        <v>44804</v>
      </c>
      <c r="C494" s="27">
        <v>16140720</v>
      </c>
      <c r="D494" s="27" t="s">
        <v>12</v>
      </c>
      <c r="E494" s="27" t="s">
        <v>299</v>
      </c>
      <c r="F494" s="27" t="s">
        <v>28</v>
      </c>
      <c r="G494" s="27" t="s">
        <v>32</v>
      </c>
      <c r="H494" s="25">
        <v>44804.34915509259</v>
      </c>
    </row>
    <row r="495" spans="1:8" x14ac:dyDescent="0.25">
      <c r="A495">
        <v>140</v>
      </c>
      <c r="B495" s="1">
        <v>44804</v>
      </c>
      <c r="C495" s="27">
        <v>16138672</v>
      </c>
      <c r="D495" s="27" t="s">
        <v>7</v>
      </c>
      <c r="E495" s="27" t="s">
        <v>353</v>
      </c>
      <c r="F495" s="27" t="s">
        <v>10</v>
      </c>
      <c r="G495" s="27" t="s">
        <v>33</v>
      </c>
      <c r="H495" s="25">
        <v>44803.639675925922</v>
      </c>
    </row>
    <row r="496" spans="1:8" x14ac:dyDescent="0.25">
      <c r="A496">
        <v>141</v>
      </c>
      <c r="B496" s="1">
        <v>44804</v>
      </c>
      <c r="C496" s="27">
        <v>16142207</v>
      </c>
      <c r="D496" s="27" t="s">
        <v>14</v>
      </c>
      <c r="E496" s="27" t="s">
        <v>340</v>
      </c>
      <c r="F496" s="27" t="s">
        <v>10</v>
      </c>
      <c r="G496" s="27" t="s">
        <v>33</v>
      </c>
      <c r="H496" s="25">
        <v>44804.469884259262</v>
      </c>
    </row>
    <row r="497" spans="1:8" x14ac:dyDescent="0.25">
      <c r="A497">
        <v>130</v>
      </c>
      <c r="B497" s="1">
        <v>44804</v>
      </c>
      <c r="C497" s="27">
        <v>16137645</v>
      </c>
      <c r="D497" s="27" t="s">
        <v>15</v>
      </c>
      <c r="E497" s="27" t="s">
        <v>344</v>
      </c>
      <c r="F497" s="27" t="s">
        <v>10</v>
      </c>
      <c r="G497" s="27" t="s">
        <v>33</v>
      </c>
      <c r="H497" s="25">
        <v>44803.554560185185</v>
      </c>
    </row>
    <row r="498" spans="1:8" x14ac:dyDescent="0.25">
      <c r="A498">
        <v>131</v>
      </c>
      <c r="B498" s="1">
        <v>44804</v>
      </c>
      <c r="C498" s="27">
        <v>16137673</v>
      </c>
      <c r="D498" s="27" t="s">
        <v>15</v>
      </c>
      <c r="E498" s="27" t="s">
        <v>345</v>
      </c>
      <c r="F498" s="27" t="s">
        <v>10</v>
      </c>
      <c r="G498" s="27" t="s">
        <v>33</v>
      </c>
      <c r="H498" s="25">
        <v>44803.557118055556</v>
      </c>
    </row>
    <row r="499" spans="1:8" x14ac:dyDescent="0.25">
      <c r="A499">
        <v>128</v>
      </c>
      <c r="B499" s="1">
        <v>44804</v>
      </c>
      <c r="C499" s="27">
        <v>16136702</v>
      </c>
      <c r="D499" s="27" t="s">
        <v>14</v>
      </c>
      <c r="E499" s="27" t="s">
        <v>342</v>
      </c>
      <c r="F499" s="27" t="s">
        <v>10</v>
      </c>
      <c r="G499" s="27" t="s">
        <v>33</v>
      </c>
      <c r="H499" s="25">
        <v>44803.43582175926</v>
      </c>
    </row>
    <row r="500" spans="1:8" x14ac:dyDescent="0.25">
      <c r="A500">
        <v>129</v>
      </c>
      <c r="B500" s="1">
        <v>44804</v>
      </c>
      <c r="C500" s="27">
        <v>16137088</v>
      </c>
      <c r="D500" s="27" t="s">
        <v>14</v>
      </c>
      <c r="E500" s="27" t="s">
        <v>343</v>
      </c>
      <c r="F500" s="27" t="s">
        <v>10</v>
      </c>
      <c r="G500" s="27" t="s">
        <v>33</v>
      </c>
      <c r="H500" s="25">
        <v>44803.472361111111</v>
      </c>
    </row>
    <row r="501" spans="1:8" x14ac:dyDescent="0.25">
      <c r="A501">
        <v>134</v>
      </c>
      <c r="B501" s="1">
        <v>44804</v>
      </c>
      <c r="C501" s="27">
        <v>16138146</v>
      </c>
      <c r="D501" s="27" t="s">
        <v>15</v>
      </c>
      <c r="E501" s="27" t="s">
        <v>348</v>
      </c>
      <c r="F501" s="27" t="s">
        <v>10</v>
      </c>
      <c r="G501" s="27" t="s">
        <v>33</v>
      </c>
      <c r="H501" s="25">
        <v>44803.598101851851</v>
      </c>
    </row>
    <row r="502" spans="1:8" x14ac:dyDescent="0.25">
      <c r="A502">
        <v>135</v>
      </c>
      <c r="B502" s="1">
        <v>44804</v>
      </c>
      <c r="C502" s="27">
        <v>16138157</v>
      </c>
      <c r="D502" s="27" t="s">
        <v>15</v>
      </c>
      <c r="E502" s="27" t="s">
        <v>349</v>
      </c>
      <c r="F502" s="27" t="s">
        <v>10</v>
      </c>
      <c r="G502" s="27" t="s">
        <v>33</v>
      </c>
      <c r="H502" s="25">
        <v>44803.599236111113</v>
      </c>
    </row>
    <row r="503" spans="1:8" x14ac:dyDescent="0.25">
      <c r="A503">
        <v>132</v>
      </c>
      <c r="B503" s="1">
        <v>44804</v>
      </c>
      <c r="C503" s="27">
        <v>16137828</v>
      </c>
      <c r="D503" s="27" t="s">
        <v>7</v>
      </c>
      <c r="E503" s="27" t="s">
        <v>346</v>
      </c>
      <c r="F503" s="27" t="s">
        <v>10</v>
      </c>
      <c r="G503" s="27" t="s">
        <v>33</v>
      </c>
      <c r="H503" s="25">
        <v>44803.571111111109</v>
      </c>
    </row>
    <row r="504" spans="1:8" x14ac:dyDescent="0.25">
      <c r="A504">
        <v>133</v>
      </c>
      <c r="B504" s="1">
        <v>44804</v>
      </c>
      <c r="C504" s="27">
        <v>16138087</v>
      </c>
      <c r="D504" s="27" t="s">
        <v>7</v>
      </c>
      <c r="E504" s="27" t="s">
        <v>347</v>
      </c>
      <c r="F504" s="27" t="s">
        <v>10</v>
      </c>
      <c r="G504" s="27" t="s">
        <v>33</v>
      </c>
      <c r="H504" s="25">
        <v>44803.594166666669</v>
      </c>
    </row>
    <row r="505" spans="1:8" x14ac:dyDescent="0.25">
      <c r="A505">
        <v>24</v>
      </c>
      <c r="B505" s="1">
        <v>44804</v>
      </c>
      <c r="C505" s="27">
        <v>16138112</v>
      </c>
      <c r="D505" s="27" t="s">
        <v>12</v>
      </c>
      <c r="E505" s="27" t="s">
        <v>475</v>
      </c>
      <c r="F505" s="27" t="s">
        <v>10</v>
      </c>
      <c r="G505" s="27" t="s">
        <v>8</v>
      </c>
      <c r="H505" s="25">
        <v>44803.596365740741</v>
      </c>
    </row>
    <row r="506" spans="1:8" x14ac:dyDescent="0.25">
      <c r="A506">
        <v>684</v>
      </c>
      <c r="B506" s="1">
        <v>44804</v>
      </c>
      <c r="C506" s="27">
        <v>16142933</v>
      </c>
      <c r="D506" s="27" t="s">
        <v>23</v>
      </c>
      <c r="E506" s="27" t="s">
        <v>185</v>
      </c>
      <c r="F506" s="27" t="s">
        <v>10</v>
      </c>
      <c r="G506" s="27" t="s">
        <v>20</v>
      </c>
      <c r="H506" s="25">
        <v>44804.577731481484</v>
      </c>
    </row>
    <row r="507" spans="1:8" x14ac:dyDescent="0.25">
      <c r="A507">
        <v>27</v>
      </c>
      <c r="B507" s="1">
        <v>44804</v>
      </c>
      <c r="C507" s="27">
        <v>16141082</v>
      </c>
      <c r="D507" s="27" t="s">
        <v>11</v>
      </c>
      <c r="E507" s="27" t="s">
        <v>67</v>
      </c>
      <c r="F507" s="27" t="s">
        <v>16</v>
      </c>
      <c r="G507" s="27" t="s">
        <v>8</v>
      </c>
      <c r="H507" s="25">
        <v>44804.369004629632</v>
      </c>
    </row>
    <row r="508" spans="1:8" x14ac:dyDescent="0.25">
      <c r="A508">
        <v>26</v>
      </c>
      <c r="B508" s="1">
        <v>44804</v>
      </c>
      <c r="C508" s="27">
        <v>16138898</v>
      </c>
      <c r="D508" s="27" t="s">
        <v>11</v>
      </c>
      <c r="E508" s="27" t="s">
        <v>477</v>
      </c>
      <c r="F508" s="27" t="s">
        <v>16</v>
      </c>
      <c r="G508" s="27" t="s">
        <v>8</v>
      </c>
      <c r="H508" s="25">
        <v>44803.66710648148</v>
      </c>
    </row>
    <row r="509" spans="1:8" x14ac:dyDescent="0.25">
      <c r="A509">
        <v>23</v>
      </c>
      <c r="B509" s="1">
        <v>44804</v>
      </c>
      <c r="C509" s="27">
        <v>16138026</v>
      </c>
      <c r="D509" s="27" t="s">
        <v>11</v>
      </c>
      <c r="E509" s="27" t="s">
        <v>474</v>
      </c>
      <c r="F509" s="27" t="s">
        <v>16</v>
      </c>
      <c r="G509" s="27" t="s">
        <v>8</v>
      </c>
      <c r="H509" s="25">
        <v>44803.585844907408</v>
      </c>
    </row>
    <row r="510" spans="1:8" x14ac:dyDescent="0.25">
      <c r="A510">
        <v>645</v>
      </c>
      <c r="B510" s="1">
        <v>44803</v>
      </c>
      <c r="C510" s="27">
        <v>16133511</v>
      </c>
      <c r="D510" s="27" t="s">
        <v>23</v>
      </c>
      <c r="E510" s="27" t="s">
        <v>153</v>
      </c>
      <c r="F510" s="27" t="s">
        <v>10</v>
      </c>
      <c r="G510" s="27" t="s">
        <v>20</v>
      </c>
      <c r="H510" s="25">
        <v>44802.647152777776</v>
      </c>
    </row>
    <row r="511" spans="1:8" x14ac:dyDescent="0.25">
      <c r="A511">
        <v>644</v>
      </c>
      <c r="B511" s="1">
        <v>44803</v>
      </c>
      <c r="C511" s="27">
        <v>16133430</v>
      </c>
      <c r="D511" s="27" t="s">
        <v>19</v>
      </c>
      <c r="E511" s="27" t="s">
        <v>152</v>
      </c>
      <c r="F511" s="27"/>
      <c r="G511" s="27" t="s">
        <v>20</v>
      </c>
      <c r="H511" s="25">
        <v>44802.642557870371</v>
      </c>
    </row>
    <row r="512" spans="1:8" x14ac:dyDescent="0.25">
      <c r="A512">
        <v>652</v>
      </c>
      <c r="B512" s="1">
        <v>44803</v>
      </c>
      <c r="C512" s="27">
        <v>16135567</v>
      </c>
      <c r="D512" s="27" t="s">
        <v>23</v>
      </c>
      <c r="E512" s="27" t="s">
        <v>159</v>
      </c>
      <c r="F512" s="27" t="s">
        <v>10</v>
      </c>
      <c r="G512" s="27" t="s">
        <v>20</v>
      </c>
      <c r="H512" s="25">
        <v>44803.350844907407</v>
      </c>
    </row>
    <row r="513" spans="1:8" x14ac:dyDescent="0.25">
      <c r="A513">
        <v>643</v>
      </c>
      <c r="B513" s="1">
        <v>44803</v>
      </c>
      <c r="C513" s="27">
        <v>16133318</v>
      </c>
      <c r="D513" s="27" t="s">
        <v>23</v>
      </c>
      <c r="E513" s="27" t="s">
        <v>151</v>
      </c>
      <c r="F513" s="27" t="s">
        <v>10</v>
      </c>
      <c r="G513" s="27" t="s">
        <v>20</v>
      </c>
      <c r="H513" s="25">
        <v>44802.68849537037</v>
      </c>
    </row>
    <row r="514" spans="1:8" x14ac:dyDescent="0.25">
      <c r="A514">
        <v>646</v>
      </c>
      <c r="B514" s="1">
        <v>44803</v>
      </c>
      <c r="C514" s="27">
        <v>16133523</v>
      </c>
      <c r="D514" s="27" t="s">
        <v>23</v>
      </c>
      <c r="E514" s="27" t="s">
        <v>51</v>
      </c>
      <c r="F514" s="27" t="s">
        <v>10</v>
      </c>
      <c r="G514" s="27" t="s">
        <v>20</v>
      </c>
      <c r="H514" s="25">
        <v>44802.647916666669</v>
      </c>
    </row>
    <row r="515" spans="1:8" x14ac:dyDescent="0.25">
      <c r="A515">
        <v>651</v>
      </c>
      <c r="B515" s="1">
        <v>44803</v>
      </c>
      <c r="C515" s="27">
        <v>16133828</v>
      </c>
      <c r="D515" s="27" t="s">
        <v>19</v>
      </c>
      <c r="E515" s="27" t="s">
        <v>158</v>
      </c>
      <c r="F515" s="27" t="s">
        <v>10</v>
      </c>
      <c r="G515" s="27" t="s">
        <v>20</v>
      </c>
      <c r="H515" s="25">
        <v>44802.675381944442</v>
      </c>
    </row>
    <row r="516" spans="1:8" x14ac:dyDescent="0.25">
      <c r="A516">
        <v>650</v>
      </c>
      <c r="B516" s="1">
        <v>44803</v>
      </c>
      <c r="C516" s="27">
        <v>16133786</v>
      </c>
      <c r="D516" s="27" t="s">
        <v>19</v>
      </c>
      <c r="E516" s="27" t="s">
        <v>157</v>
      </c>
      <c r="F516" s="27" t="s">
        <v>10</v>
      </c>
      <c r="G516" s="27" t="s">
        <v>20</v>
      </c>
      <c r="H516" s="25">
        <v>44802.670185185183</v>
      </c>
    </row>
    <row r="517" spans="1:8" x14ac:dyDescent="0.25">
      <c r="A517">
        <v>653</v>
      </c>
      <c r="B517" s="1">
        <v>44803</v>
      </c>
      <c r="C517" s="27">
        <v>16135596</v>
      </c>
      <c r="D517" s="27" t="s">
        <v>26</v>
      </c>
      <c r="E517" s="27" t="s">
        <v>70</v>
      </c>
      <c r="F517" s="27" t="s">
        <v>10</v>
      </c>
      <c r="G517" s="27" t="s">
        <v>20</v>
      </c>
      <c r="H517" s="25">
        <v>44803.351527777777</v>
      </c>
    </row>
    <row r="518" spans="1:8" x14ac:dyDescent="0.25">
      <c r="A518">
        <v>647</v>
      </c>
      <c r="B518" s="1">
        <v>44803</v>
      </c>
      <c r="C518" s="27">
        <v>16133768</v>
      </c>
      <c r="D518" s="27" t="s">
        <v>19</v>
      </c>
      <c r="E518" s="27" t="s">
        <v>154</v>
      </c>
      <c r="F518" s="27" t="s">
        <v>10</v>
      </c>
      <c r="G518" s="27" t="s">
        <v>20</v>
      </c>
      <c r="H518" s="25">
        <v>44802.667557870373</v>
      </c>
    </row>
    <row r="519" spans="1:8" x14ac:dyDescent="0.25">
      <c r="A519">
        <v>654</v>
      </c>
      <c r="B519" s="1">
        <v>44803</v>
      </c>
      <c r="C519" s="27">
        <v>16135781</v>
      </c>
      <c r="D519" s="27" t="s">
        <v>23</v>
      </c>
      <c r="E519" s="27" t="s">
        <v>118</v>
      </c>
      <c r="F519" s="27" t="s">
        <v>17</v>
      </c>
      <c r="G519" s="27" t="s">
        <v>20</v>
      </c>
      <c r="H519" s="25">
        <v>44803.366006944445</v>
      </c>
    </row>
    <row r="520" spans="1:8" x14ac:dyDescent="0.25">
      <c r="A520">
        <v>203</v>
      </c>
      <c r="B520" s="1">
        <v>44803</v>
      </c>
      <c r="C520" s="27">
        <v>16135908</v>
      </c>
      <c r="D520" s="27" t="s">
        <v>14</v>
      </c>
      <c r="E520" s="27" t="s">
        <v>307</v>
      </c>
      <c r="F520" s="27" t="s">
        <v>10</v>
      </c>
      <c r="G520" s="27" t="s">
        <v>32</v>
      </c>
      <c r="H520" s="25">
        <v>44803.374884259261</v>
      </c>
    </row>
    <row r="521" spans="1:8" x14ac:dyDescent="0.25">
      <c r="A521">
        <v>202</v>
      </c>
      <c r="B521" s="1">
        <v>44803</v>
      </c>
      <c r="C521" s="27">
        <v>16124932</v>
      </c>
      <c r="D521" s="27" t="s">
        <v>11</v>
      </c>
      <c r="E521" s="27" t="s">
        <v>306</v>
      </c>
      <c r="F521" s="27" t="s">
        <v>28</v>
      </c>
      <c r="G521" s="27" t="s">
        <v>32</v>
      </c>
      <c r="H521" s="25">
        <v>44803.416377314818</v>
      </c>
    </row>
    <row r="522" spans="1:8" x14ac:dyDescent="0.25">
      <c r="A522">
        <v>205</v>
      </c>
      <c r="B522" s="1">
        <v>44803</v>
      </c>
      <c r="C522" s="27">
        <v>16135798</v>
      </c>
      <c r="D522" s="27" t="s">
        <v>11</v>
      </c>
      <c r="E522" s="27" t="s">
        <v>309</v>
      </c>
      <c r="F522" s="27" t="s">
        <v>10</v>
      </c>
      <c r="G522" s="27" t="s">
        <v>32</v>
      </c>
      <c r="H522" s="25">
        <v>44803.366516203707</v>
      </c>
    </row>
    <row r="523" spans="1:8" x14ac:dyDescent="0.25">
      <c r="A523">
        <v>204</v>
      </c>
      <c r="B523" s="1">
        <v>44803</v>
      </c>
      <c r="C523" s="27">
        <v>16135883</v>
      </c>
      <c r="D523" s="27" t="s">
        <v>14</v>
      </c>
      <c r="E523" s="27" t="s">
        <v>308</v>
      </c>
      <c r="F523" s="27" t="s">
        <v>31</v>
      </c>
      <c r="G523" s="27" t="s">
        <v>32</v>
      </c>
      <c r="H523" s="25">
        <v>44803.373564814814</v>
      </c>
    </row>
    <row r="524" spans="1:8" x14ac:dyDescent="0.25">
      <c r="A524">
        <v>348</v>
      </c>
      <c r="B524" s="1">
        <v>44803</v>
      </c>
      <c r="C524" s="27">
        <v>16126469</v>
      </c>
      <c r="D524" s="27" t="s">
        <v>7</v>
      </c>
      <c r="E524" s="27" t="s">
        <v>251</v>
      </c>
      <c r="F524" s="27" t="s">
        <v>10</v>
      </c>
      <c r="G524" s="27" t="s">
        <v>30</v>
      </c>
      <c r="H524" s="25">
        <v>44799.664467592593</v>
      </c>
    </row>
    <row r="525" spans="1:8" x14ac:dyDescent="0.25">
      <c r="A525">
        <v>349</v>
      </c>
      <c r="B525" s="1">
        <v>44803</v>
      </c>
      <c r="C525" s="27">
        <v>16131116</v>
      </c>
      <c r="D525" s="27" t="s">
        <v>7</v>
      </c>
      <c r="E525" s="27" t="s">
        <v>257</v>
      </c>
      <c r="F525" s="27" t="s">
        <v>31</v>
      </c>
      <c r="G525" s="27" t="s">
        <v>30</v>
      </c>
      <c r="H525" s="25">
        <v>44802.40552083333</v>
      </c>
    </row>
    <row r="526" spans="1:8" x14ac:dyDescent="0.25">
      <c r="A526">
        <v>198</v>
      </c>
      <c r="B526" s="1">
        <v>44803</v>
      </c>
      <c r="C526" s="27">
        <v>16138187</v>
      </c>
      <c r="D526" s="27" t="s">
        <v>14</v>
      </c>
      <c r="E526" s="27" t="s">
        <v>303</v>
      </c>
      <c r="F526" s="27" t="s">
        <v>28</v>
      </c>
      <c r="G526" s="27" t="s">
        <v>32</v>
      </c>
      <c r="H526" s="25">
        <v>44803.602731481478</v>
      </c>
    </row>
    <row r="527" spans="1:8" x14ac:dyDescent="0.25">
      <c r="A527">
        <v>197</v>
      </c>
      <c r="B527" s="1">
        <v>44803</v>
      </c>
      <c r="C527" s="27">
        <v>16138497</v>
      </c>
      <c r="D527" s="27" t="s">
        <v>11</v>
      </c>
      <c r="E527" s="27" t="s">
        <v>302</v>
      </c>
      <c r="F527" s="27" t="s">
        <v>10</v>
      </c>
      <c r="G527" s="27" t="s">
        <v>32</v>
      </c>
      <c r="H527" s="25">
        <v>44803.629895833335</v>
      </c>
    </row>
    <row r="528" spans="1:8" x14ac:dyDescent="0.25">
      <c r="A528">
        <v>657</v>
      </c>
      <c r="B528" s="1">
        <v>44803</v>
      </c>
      <c r="C528" s="27">
        <v>16136366</v>
      </c>
      <c r="D528" s="27" t="s">
        <v>26</v>
      </c>
      <c r="E528" s="27" t="s">
        <v>162</v>
      </c>
      <c r="F528" s="27" t="s">
        <v>17</v>
      </c>
      <c r="G528" s="27" t="s">
        <v>20</v>
      </c>
      <c r="H528" s="25">
        <v>44803.416388888887</v>
      </c>
    </row>
    <row r="529" spans="1:8" x14ac:dyDescent="0.25">
      <c r="A529">
        <v>210</v>
      </c>
      <c r="B529" s="1">
        <v>44803</v>
      </c>
      <c r="C529" s="27">
        <v>16132003</v>
      </c>
      <c r="D529" s="27" t="s">
        <v>11</v>
      </c>
      <c r="E529" s="27" t="s">
        <v>314</v>
      </c>
      <c r="F529" s="27" t="s">
        <v>10</v>
      </c>
      <c r="G529" s="27" t="s">
        <v>32</v>
      </c>
      <c r="H529" s="25">
        <v>44802.494641203702</v>
      </c>
    </row>
    <row r="530" spans="1:8" x14ac:dyDescent="0.25">
      <c r="A530">
        <v>659</v>
      </c>
      <c r="B530" s="1">
        <v>44803</v>
      </c>
      <c r="C530" s="27">
        <v>16136578</v>
      </c>
      <c r="D530" s="27" t="s">
        <v>19</v>
      </c>
      <c r="E530" s="27" t="s">
        <v>164</v>
      </c>
      <c r="F530" s="27" t="s">
        <v>10</v>
      </c>
      <c r="G530" s="27" t="s">
        <v>20</v>
      </c>
      <c r="H530" s="25">
        <v>44803.426724537036</v>
      </c>
    </row>
    <row r="531" spans="1:8" x14ac:dyDescent="0.25">
      <c r="A531">
        <v>656</v>
      </c>
      <c r="B531" s="1">
        <v>44803</v>
      </c>
      <c r="C531" s="27">
        <v>16136366</v>
      </c>
      <c r="D531" s="27" t="s">
        <v>26</v>
      </c>
      <c r="E531" s="27" t="s">
        <v>161</v>
      </c>
      <c r="F531" s="27" t="s">
        <v>17</v>
      </c>
      <c r="G531" s="27" t="s">
        <v>20</v>
      </c>
      <c r="H531" s="25">
        <v>44803.415706018517</v>
      </c>
    </row>
    <row r="532" spans="1:8" x14ac:dyDescent="0.25">
      <c r="A532">
        <v>207</v>
      </c>
      <c r="B532" s="1">
        <v>44803</v>
      </c>
      <c r="C532" s="27">
        <v>16133031</v>
      </c>
      <c r="D532" s="27" t="s">
        <v>11</v>
      </c>
      <c r="E532" s="27" t="s">
        <v>311</v>
      </c>
      <c r="F532" s="27" t="s">
        <v>10</v>
      </c>
      <c r="G532" s="27" t="s">
        <v>32</v>
      </c>
      <c r="H532" s="25">
        <v>44802.602453703701</v>
      </c>
    </row>
    <row r="533" spans="1:8" x14ac:dyDescent="0.25">
      <c r="A533">
        <v>658</v>
      </c>
      <c r="B533" s="1">
        <v>44803</v>
      </c>
      <c r="C533" s="27">
        <v>16136464</v>
      </c>
      <c r="D533" s="27" t="s">
        <v>19</v>
      </c>
      <c r="E533" s="27" t="s">
        <v>163</v>
      </c>
      <c r="F533" s="27" t="s">
        <v>18</v>
      </c>
      <c r="G533" s="27" t="s">
        <v>20</v>
      </c>
      <c r="H533" s="25">
        <v>44803.417557870373</v>
      </c>
    </row>
    <row r="534" spans="1:8" x14ac:dyDescent="0.25">
      <c r="A534">
        <v>209</v>
      </c>
      <c r="B534" s="1">
        <v>44803</v>
      </c>
      <c r="C534" s="27">
        <v>16132006</v>
      </c>
      <c r="D534" s="27" t="s">
        <v>11</v>
      </c>
      <c r="E534" s="27" t="s">
        <v>313</v>
      </c>
      <c r="F534" s="27" t="s">
        <v>10</v>
      </c>
      <c r="G534" s="27" t="s">
        <v>32</v>
      </c>
      <c r="H534" s="25">
        <v>44802.495763888888</v>
      </c>
    </row>
    <row r="535" spans="1:8" x14ac:dyDescent="0.25">
      <c r="A535">
        <v>208</v>
      </c>
      <c r="B535" s="1">
        <v>44803</v>
      </c>
      <c r="C535" s="27">
        <v>16131058</v>
      </c>
      <c r="D535" s="27" t="s">
        <v>7</v>
      </c>
      <c r="E535" s="27" t="s">
        <v>312</v>
      </c>
      <c r="F535" s="27" t="s">
        <v>10</v>
      </c>
      <c r="G535" s="27" t="s">
        <v>32</v>
      </c>
      <c r="H535" s="25">
        <v>44802.555810185186</v>
      </c>
    </row>
    <row r="536" spans="1:8" x14ac:dyDescent="0.25">
      <c r="A536">
        <v>635</v>
      </c>
      <c r="B536" s="1">
        <v>44803</v>
      </c>
      <c r="C536" s="27">
        <v>16133279</v>
      </c>
      <c r="D536" s="27" t="s">
        <v>22</v>
      </c>
      <c r="E536" s="27" t="s">
        <v>143</v>
      </c>
      <c r="F536" s="27"/>
      <c r="G536" s="27" t="s">
        <v>20</v>
      </c>
      <c r="H536" s="25">
        <v>44802.627581018518</v>
      </c>
    </row>
    <row r="537" spans="1:8" x14ac:dyDescent="0.25">
      <c r="A537">
        <v>15</v>
      </c>
      <c r="B537" s="1">
        <v>44803</v>
      </c>
      <c r="C537" s="27">
        <v>16136278</v>
      </c>
      <c r="D537" s="27" t="s">
        <v>11</v>
      </c>
      <c r="E537" s="27" t="s">
        <v>467</v>
      </c>
      <c r="F537" s="27" t="s">
        <v>10</v>
      </c>
      <c r="G537" s="27" t="s">
        <v>8</v>
      </c>
      <c r="H537" s="25">
        <v>44803.40185185185</v>
      </c>
    </row>
    <row r="538" spans="1:8" x14ac:dyDescent="0.25">
      <c r="A538">
        <v>16</v>
      </c>
      <c r="B538" s="1">
        <v>44803</v>
      </c>
      <c r="C538" s="27">
        <v>16136354</v>
      </c>
      <c r="D538" s="27" t="s">
        <v>7</v>
      </c>
      <c r="E538" s="27" t="s">
        <v>468</v>
      </c>
      <c r="F538" s="27" t="s">
        <v>13</v>
      </c>
      <c r="G538" s="27" t="s">
        <v>8</v>
      </c>
      <c r="H538" s="25">
        <v>44803.459085648145</v>
      </c>
    </row>
    <row r="539" spans="1:8" x14ac:dyDescent="0.25">
      <c r="A539">
        <v>594</v>
      </c>
      <c r="B539" s="1">
        <v>44803</v>
      </c>
      <c r="C539" s="27">
        <v>16125358</v>
      </c>
      <c r="D539" s="27" t="s">
        <v>22</v>
      </c>
      <c r="E539" s="27" t="s">
        <v>107</v>
      </c>
      <c r="F539" s="27" t="s">
        <v>10</v>
      </c>
      <c r="G539" s="27" t="s">
        <v>20</v>
      </c>
      <c r="H539" s="25">
        <v>44799.615324074075</v>
      </c>
    </row>
    <row r="540" spans="1:8" x14ac:dyDescent="0.25">
      <c r="A540">
        <v>14</v>
      </c>
      <c r="B540" s="1">
        <v>44803</v>
      </c>
      <c r="C540" s="27">
        <v>16136120</v>
      </c>
      <c r="D540" s="27" t="s">
        <v>14</v>
      </c>
      <c r="E540" s="27" t="s">
        <v>466</v>
      </c>
      <c r="F540" s="27" t="s">
        <v>16</v>
      </c>
      <c r="G540" s="27" t="s">
        <v>8</v>
      </c>
      <c r="H540" s="25">
        <v>44803.389988425923</v>
      </c>
    </row>
    <row r="541" spans="1:8" x14ac:dyDescent="0.25">
      <c r="A541">
        <v>609</v>
      </c>
      <c r="B541" s="1">
        <v>44803</v>
      </c>
      <c r="C541" s="27">
        <v>16125669</v>
      </c>
      <c r="D541" s="27" t="s">
        <v>23</v>
      </c>
      <c r="E541" s="27" t="s">
        <v>120</v>
      </c>
      <c r="F541" s="27" t="s">
        <v>10</v>
      </c>
      <c r="G541" s="27" t="s">
        <v>20</v>
      </c>
      <c r="H541" s="25">
        <v>44803.45585648148</v>
      </c>
    </row>
    <row r="542" spans="1:8" x14ac:dyDescent="0.25">
      <c r="A542">
        <v>11</v>
      </c>
      <c r="B542" s="1">
        <v>44803</v>
      </c>
      <c r="C542" s="27">
        <v>16132303</v>
      </c>
      <c r="D542" s="27" t="s">
        <v>11</v>
      </c>
      <c r="E542" s="27" t="s">
        <v>463</v>
      </c>
      <c r="F542" s="27" t="s">
        <v>16</v>
      </c>
      <c r="G542" s="27" t="s">
        <v>8</v>
      </c>
      <c r="H542" s="25">
        <v>44802.549641203703</v>
      </c>
    </row>
    <row r="543" spans="1:8" x14ac:dyDescent="0.25">
      <c r="A543">
        <v>13</v>
      </c>
      <c r="B543" s="1">
        <v>44803</v>
      </c>
      <c r="C543" s="27">
        <v>16133664</v>
      </c>
      <c r="D543" s="27" t="s">
        <v>12</v>
      </c>
      <c r="E543" s="27" t="s">
        <v>465</v>
      </c>
      <c r="F543" s="27" t="s">
        <v>16</v>
      </c>
      <c r="G543" s="27" t="s">
        <v>8</v>
      </c>
      <c r="H543" s="25">
        <v>44802.658912037034</v>
      </c>
    </row>
    <row r="544" spans="1:8" x14ac:dyDescent="0.25">
      <c r="A544">
        <v>587</v>
      </c>
      <c r="B544" s="1">
        <v>44803</v>
      </c>
      <c r="C544" s="27">
        <v>16123752</v>
      </c>
      <c r="D544" s="27" t="s">
        <v>19</v>
      </c>
      <c r="E544" s="27" t="s">
        <v>102</v>
      </c>
      <c r="F544" s="27" t="s">
        <v>10</v>
      </c>
      <c r="G544" s="27" t="s">
        <v>20</v>
      </c>
      <c r="H544" s="25">
        <v>44799.441689814812</v>
      </c>
    </row>
    <row r="545" spans="1:8" x14ac:dyDescent="0.25">
      <c r="A545">
        <v>560</v>
      </c>
      <c r="B545" s="1">
        <v>44803</v>
      </c>
      <c r="C545" s="27">
        <v>16107625</v>
      </c>
      <c r="D545" s="27" t="s">
        <v>27</v>
      </c>
      <c r="E545" s="27" t="s">
        <v>43</v>
      </c>
      <c r="F545" s="27" t="s">
        <v>10</v>
      </c>
      <c r="G545" s="27" t="s">
        <v>20</v>
      </c>
      <c r="H545" s="25">
        <v>44802.632962962962</v>
      </c>
    </row>
    <row r="546" spans="1:8" x14ac:dyDescent="0.25">
      <c r="A546">
        <v>559</v>
      </c>
      <c r="B546" s="1">
        <v>44803</v>
      </c>
      <c r="C546" s="27">
        <v>15934801</v>
      </c>
      <c r="D546" s="27" t="s">
        <v>23</v>
      </c>
      <c r="E546" s="27" t="s">
        <v>75</v>
      </c>
      <c r="F546" s="27" t="s">
        <v>10</v>
      </c>
      <c r="G546" s="27" t="s">
        <v>20</v>
      </c>
      <c r="H546" s="25">
        <v>44803.449432870373</v>
      </c>
    </row>
    <row r="547" spans="1:8" x14ac:dyDescent="0.25">
      <c r="A547">
        <v>589</v>
      </c>
      <c r="B547" s="1">
        <v>44803</v>
      </c>
      <c r="C547" s="27">
        <v>16125268</v>
      </c>
      <c r="D547" s="27" t="s">
        <v>22</v>
      </c>
      <c r="E547" s="27" t="s">
        <v>104</v>
      </c>
      <c r="F547" s="27" t="s">
        <v>10</v>
      </c>
      <c r="G547" s="27" t="s">
        <v>20</v>
      </c>
      <c r="H547" s="25">
        <v>44799.614085648151</v>
      </c>
    </row>
    <row r="548" spans="1:8" x14ac:dyDescent="0.25">
      <c r="A548">
        <v>592</v>
      </c>
      <c r="B548" s="1">
        <v>44803</v>
      </c>
      <c r="C548" s="27">
        <v>16125329</v>
      </c>
      <c r="D548" s="27" t="s">
        <v>22</v>
      </c>
      <c r="E548" s="27" t="s">
        <v>106</v>
      </c>
      <c r="F548" s="27" t="s">
        <v>13</v>
      </c>
      <c r="G548" s="27" t="s">
        <v>20</v>
      </c>
      <c r="H548" s="25">
        <v>44799.614884259259</v>
      </c>
    </row>
    <row r="549" spans="1:8" x14ac:dyDescent="0.25">
      <c r="A549">
        <v>591</v>
      </c>
      <c r="B549" s="1">
        <v>44803</v>
      </c>
      <c r="C549" s="27">
        <v>16125305</v>
      </c>
      <c r="D549" s="27" t="s">
        <v>22</v>
      </c>
      <c r="E549" s="27" t="s">
        <v>105</v>
      </c>
      <c r="F549" s="27" t="s">
        <v>13</v>
      </c>
      <c r="G549" s="27" t="s">
        <v>20</v>
      </c>
      <c r="H549" s="25">
        <v>44799.614479166667</v>
      </c>
    </row>
    <row r="550" spans="1:8" x14ac:dyDescent="0.25">
      <c r="A550">
        <v>25</v>
      </c>
      <c r="B550" s="1">
        <v>44803</v>
      </c>
      <c r="C550" s="27">
        <v>16138170</v>
      </c>
      <c r="D550" s="27" t="s">
        <v>11</v>
      </c>
      <c r="E550" s="27" t="s">
        <v>476</v>
      </c>
      <c r="F550" s="27" t="s">
        <v>13</v>
      </c>
      <c r="G550" s="27" t="s">
        <v>8</v>
      </c>
      <c r="H550" s="25">
        <v>44803.601087962961</v>
      </c>
    </row>
    <row r="551" spans="1:8" x14ac:dyDescent="0.25">
      <c r="A551">
        <v>630</v>
      </c>
      <c r="B551" s="1">
        <v>44803</v>
      </c>
      <c r="C551" s="27">
        <v>16132907</v>
      </c>
      <c r="D551" s="27" t="s">
        <v>22</v>
      </c>
      <c r="E551" s="27" t="s">
        <v>138</v>
      </c>
      <c r="F551" s="27" t="s">
        <v>10</v>
      </c>
      <c r="G551" s="27" t="s">
        <v>20</v>
      </c>
      <c r="H551" s="25">
        <v>44802.594409722224</v>
      </c>
    </row>
    <row r="552" spans="1:8" x14ac:dyDescent="0.25">
      <c r="A552">
        <v>628</v>
      </c>
      <c r="B552" s="1">
        <v>44803</v>
      </c>
      <c r="C552" s="27">
        <v>16132676</v>
      </c>
      <c r="D552" s="27" t="s">
        <v>22</v>
      </c>
      <c r="E552" s="27" t="s">
        <v>136</v>
      </c>
      <c r="F552" s="27" t="s">
        <v>10</v>
      </c>
      <c r="G552" s="27" t="s">
        <v>20</v>
      </c>
      <c r="H552" s="25">
        <v>44802.582638888889</v>
      </c>
    </row>
    <row r="553" spans="1:8" x14ac:dyDescent="0.25">
      <c r="A553">
        <v>627</v>
      </c>
      <c r="B553" s="1">
        <v>44803</v>
      </c>
      <c r="C553" s="27">
        <v>16132614</v>
      </c>
      <c r="D553" s="27" t="s">
        <v>23</v>
      </c>
      <c r="E553" s="27" t="s">
        <v>135</v>
      </c>
      <c r="F553" s="27" t="s">
        <v>10</v>
      </c>
      <c r="G553" s="27" t="s">
        <v>20</v>
      </c>
      <c r="H553" s="25">
        <v>44802.574826388889</v>
      </c>
    </row>
    <row r="554" spans="1:8" x14ac:dyDescent="0.25">
      <c r="A554">
        <v>631</v>
      </c>
      <c r="B554" s="1">
        <v>44803</v>
      </c>
      <c r="C554" s="27">
        <v>16132947</v>
      </c>
      <c r="D554" s="27" t="s">
        <v>22</v>
      </c>
      <c r="E554" s="27" t="s">
        <v>139</v>
      </c>
      <c r="F554" s="27" t="s">
        <v>10</v>
      </c>
      <c r="G554" s="27" t="s">
        <v>20</v>
      </c>
      <c r="H554" s="25">
        <v>44802.597094907411</v>
      </c>
    </row>
    <row r="555" spans="1:8" x14ac:dyDescent="0.25">
      <c r="A555">
        <v>634</v>
      </c>
      <c r="B555" s="1">
        <v>44803</v>
      </c>
      <c r="C555" s="27">
        <v>16133194</v>
      </c>
      <c r="D555" s="27" t="s">
        <v>23</v>
      </c>
      <c r="E555" s="27" t="s">
        <v>142</v>
      </c>
      <c r="F555" s="27" t="s">
        <v>10</v>
      </c>
      <c r="G555" s="27" t="s">
        <v>20</v>
      </c>
      <c r="H555" s="25">
        <v>44802.617743055554</v>
      </c>
    </row>
    <row r="556" spans="1:8" x14ac:dyDescent="0.25">
      <c r="A556">
        <v>633</v>
      </c>
      <c r="B556" s="1">
        <v>44803</v>
      </c>
      <c r="C556" s="27">
        <v>16133092</v>
      </c>
      <c r="D556" s="27" t="s">
        <v>23</v>
      </c>
      <c r="E556" s="27" t="s">
        <v>141</v>
      </c>
      <c r="F556" s="27" t="s">
        <v>10</v>
      </c>
      <c r="G556" s="27" t="s">
        <v>20</v>
      </c>
      <c r="H556" s="25">
        <v>44802.609479166669</v>
      </c>
    </row>
    <row r="557" spans="1:8" x14ac:dyDescent="0.25">
      <c r="A557">
        <v>632</v>
      </c>
      <c r="B557" s="1">
        <v>44803</v>
      </c>
      <c r="C557" s="27">
        <v>16132966</v>
      </c>
      <c r="D557" s="27" t="s">
        <v>22</v>
      </c>
      <c r="E557" s="27" t="s">
        <v>140</v>
      </c>
      <c r="F557" s="27" t="s">
        <v>10</v>
      </c>
      <c r="G557" s="27" t="s">
        <v>20</v>
      </c>
      <c r="H557" s="25">
        <v>44802.598645833335</v>
      </c>
    </row>
    <row r="558" spans="1:8" x14ac:dyDescent="0.25">
      <c r="A558">
        <v>622</v>
      </c>
      <c r="B558" s="1">
        <v>44803</v>
      </c>
      <c r="C558" s="27">
        <v>16125935</v>
      </c>
      <c r="D558" s="27" t="s">
        <v>22</v>
      </c>
      <c r="E558" s="27" t="s">
        <v>123</v>
      </c>
      <c r="F558" s="27" t="s">
        <v>10</v>
      </c>
      <c r="G558" s="27" t="s">
        <v>20</v>
      </c>
      <c r="H558" s="25">
        <v>44799.636331018519</v>
      </c>
    </row>
    <row r="559" spans="1:8" x14ac:dyDescent="0.25">
      <c r="A559">
        <v>9</v>
      </c>
      <c r="B559" s="1">
        <v>44803</v>
      </c>
      <c r="C559" s="27">
        <v>16126037</v>
      </c>
      <c r="D559" s="27" t="s">
        <v>12</v>
      </c>
      <c r="E559" s="27" t="s">
        <v>461</v>
      </c>
      <c r="F559" s="27" t="s">
        <v>13</v>
      </c>
      <c r="G559" s="27" t="s">
        <v>8</v>
      </c>
      <c r="H559" s="25">
        <v>44799.654618055552</v>
      </c>
    </row>
    <row r="560" spans="1:8" x14ac:dyDescent="0.25">
      <c r="A560">
        <v>612</v>
      </c>
      <c r="B560" s="1">
        <v>44803</v>
      </c>
      <c r="C560" s="27">
        <v>16125935</v>
      </c>
      <c r="D560" s="27" t="s">
        <v>22</v>
      </c>
      <c r="E560" s="27" t="s">
        <v>123</v>
      </c>
      <c r="F560" s="27" t="s">
        <v>10</v>
      </c>
      <c r="G560" s="27" t="s">
        <v>20</v>
      </c>
      <c r="H560" s="25">
        <v>44799.635324074072</v>
      </c>
    </row>
    <row r="561" spans="1:8" x14ac:dyDescent="0.25">
      <c r="A561">
        <v>623</v>
      </c>
      <c r="B561" s="1">
        <v>44803</v>
      </c>
      <c r="C561" s="27">
        <v>16125935</v>
      </c>
      <c r="D561" s="27" t="s">
        <v>22</v>
      </c>
      <c r="E561" s="27" t="s">
        <v>123</v>
      </c>
      <c r="F561" s="27" t="s">
        <v>10</v>
      </c>
      <c r="G561" s="27" t="s">
        <v>20</v>
      </c>
      <c r="H561" s="25">
        <v>44799.637731481482</v>
      </c>
    </row>
    <row r="562" spans="1:8" x14ac:dyDescent="0.25">
      <c r="A562">
        <v>626</v>
      </c>
      <c r="B562" s="1">
        <v>44803</v>
      </c>
      <c r="C562" s="27">
        <v>16132561</v>
      </c>
      <c r="D562" s="27" t="s">
        <v>22</v>
      </c>
      <c r="E562" s="27" t="s">
        <v>134</v>
      </c>
      <c r="F562" s="27" t="s">
        <v>10</v>
      </c>
      <c r="G562" s="27" t="s">
        <v>20</v>
      </c>
      <c r="H562" s="25">
        <v>44802.571284722224</v>
      </c>
    </row>
    <row r="563" spans="1:8" x14ac:dyDescent="0.25">
      <c r="A563">
        <v>625</v>
      </c>
      <c r="B563" s="1">
        <v>44803</v>
      </c>
      <c r="C563" s="27">
        <v>16132487</v>
      </c>
      <c r="D563" s="27" t="s">
        <v>25</v>
      </c>
      <c r="E563" s="27" t="s">
        <v>133</v>
      </c>
      <c r="F563" s="27" t="s">
        <v>10</v>
      </c>
      <c r="G563" s="27" t="s">
        <v>20</v>
      </c>
      <c r="H563" s="25">
        <v>44802.567164351851</v>
      </c>
    </row>
    <row r="564" spans="1:8" x14ac:dyDescent="0.25">
      <c r="A564">
        <v>624</v>
      </c>
      <c r="B564" s="1">
        <v>44803</v>
      </c>
      <c r="C564" s="27">
        <v>16132473</v>
      </c>
      <c r="D564" s="27" t="s">
        <v>25</v>
      </c>
      <c r="E564" s="27" t="s">
        <v>53</v>
      </c>
      <c r="F564" s="27" t="s">
        <v>10</v>
      </c>
      <c r="G564" s="27" t="s">
        <v>20</v>
      </c>
      <c r="H564" s="25">
        <v>44802.56627314815</v>
      </c>
    </row>
    <row r="565" spans="1:8" x14ac:dyDescent="0.25">
      <c r="A565">
        <v>152</v>
      </c>
      <c r="B565" s="1">
        <v>44803</v>
      </c>
      <c r="C565" s="27">
        <v>16132725</v>
      </c>
      <c r="D565" s="27" t="s">
        <v>12</v>
      </c>
      <c r="E565" s="27" t="s">
        <v>352</v>
      </c>
      <c r="F565" s="27" t="s">
        <v>10</v>
      </c>
      <c r="G565" s="27" t="s">
        <v>33</v>
      </c>
      <c r="H565" s="25">
        <v>44802.584583333337</v>
      </c>
    </row>
    <row r="566" spans="1:8" x14ac:dyDescent="0.25">
      <c r="A566">
        <v>151</v>
      </c>
      <c r="B566" s="1">
        <v>44803</v>
      </c>
      <c r="C566" s="27">
        <v>16132639</v>
      </c>
      <c r="D566" s="27" t="s">
        <v>15</v>
      </c>
      <c r="E566" s="27" t="s">
        <v>361</v>
      </c>
      <c r="F566" s="27" t="s">
        <v>10</v>
      </c>
      <c r="G566" s="27" t="s">
        <v>33</v>
      </c>
      <c r="H566" s="25">
        <v>44802.576898148145</v>
      </c>
    </row>
    <row r="567" spans="1:8" x14ac:dyDescent="0.25">
      <c r="A567">
        <v>154</v>
      </c>
      <c r="B567" s="1">
        <v>44803</v>
      </c>
      <c r="C567" s="27">
        <v>16133191</v>
      </c>
      <c r="D567" s="27" t="s">
        <v>14</v>
      </c>
      <c r="E567" s="27" t="s">
        <v>331</v>
      </c>
      <c r="F567" s="27" t="s">
        <v>18</v>
      </c>
      <c r="G567" s="27" t="s">
        <v>33</v>
      </c>
      <c r="H567" s="25">
        <v>44802.617650462962</v>
      </c>
    </row>
    <row r="568" spans="1:8" x14ac:dyDescent="0.25">
      <c r="A568">
        <v>153</v>
      </c>
      <c r="B568" s="1">
        <v>44803</v>
      </c>
      <c r="C568" s="27">
        <v>16133137</v>
      </c>
      <c r="D568" s="27" t="s">
        <v>15</v>
      </c>
      <c r="E568" s="27" t="s">
        <v>362</v>
      </c>
      <c r="F568" s="27" t="s">
        <v>10</v>
      </c>
      <c r="G568" s="27" t="s">
        <v>33</v>
      </c>
      <c r="H568" s="25">
        <v>44802.612199074072</v>
      </c>
    </row>
    <row r="569" spans="1:8" x14ac:dyDescent="0.25">
      <c r="A569">
        <v>150</v>
      </c>
      <c r="B569" s="1">
        <v>44803</v>
      </c>
      <c r="C569" s="27">
        <v>16132621</v>
      </c>
      <c r="D569" s="27" t="s">
        <v>15</v>
      </c>
      <c r="E569" s="27" t="s">
        <v>360</v>
      </c>
      <c r="F569" s="27" t="s">
        <v>10</v>
      </c>
      <c r="G569" s="27" t="s">
        <v>33</v>
      </c>
      <c r="H569" s="25">
        <v>44802.575162037036</v>
      </c>
    </row>
    <row r="570" spans="1:8" x14ac:dyDescent="0.25">
      <c r="A570">
        <v>147</v>
      </c>
      <c r="B570" s="1">
        <v>44803</v>
      </c>
      <c r="C570" s="27">
        <v>16130965</v>
      </c>
      <c r="D570" s="27" t="s">
        <v>14</v>
      </c>
      <c r="E570" s="27" t="s">
        <v>357</v>
      </c>
      <c r="F570" s="27" t="s">
        <v>10</v>
      </c>
      <c r="G570" s="27" t="s">
        <v>33</v>
      </c>
      <c r="H570" s="25">
        <v>44802.392233796294</v>
      </c>
    </row>
    <row r="571" spans="1:8" x14ac:dyDescent="0.25">
      <c r="A571">
        <v>146</v>
      </c>
      <c r="B571" s="1">
        <v>44803</v>
      </c>
      <c r="C571" s="27">
        <v>16130938</v>
      </c>
      <c r="D571" s="27" t="s">
        <v>14</v>
      </c>
      <c r="E571" s="27" t="s">
        <v>61</v>
      </c>
      <c r="F571" s="27" t="s">
        <v>10</v>
      </c>
      <c r="G571" s="27" t="s">
        <v>33</v>
      </c>
      <c r="H571" s="25">
        <v>44802.390370370369</v>
      </c>
    </row>
    <row r="572" spans="1:8" x14ac:dyDescent="0.25">
      <c r="A572">
        <v>149</v>
      </c>
      <c r="B572" s="1">
        <v>44803</v>
      </c>
      <c r="C572" s="27">
        <v>16132013</v>
      </c>
      <c r="D572" s="27" t="s">
        <v>14</v>
      </c>
      <c r="E572" s="27" t="s">
        <v>359</v>
      </c>
      <c r="F572" s="27" t="s">
        <v>10</v>
      </c>
      <c r="G572" s="27" t="s">
        <v>33</v>
      </c>
      <c r="H572" s="25">
        <v>44802.49728009259</v>
      </c>
    </row>
    <row r="573" spans="1:8" x14ac:dyDescent="0.25">
      <c r="A573">
        <v>148</v>
      </c>
      <c r="B573" s="1">
        <v>44803</v>
      </c>
      <c r="C573" s="27">
        <v>16131994</v>
      </c>
      <c r="D573" s="27" t="s">
        <v>14</v>
      </c>
      <c r="E573" s="27" t="s">
        <v>358</v>
      </c>
      <c r="F573" s="27" t="s">
        <v>10</v>
      </c>
      <c r="G573" s="27" t="s">
        <v>33</v>
      </c>
      <c r="H573" s="25">
        <v>44802.493437500001</v>
      </c>
    </row>
    <row r="574" spans="1:8" x14ac:dyDescent="0.25">
      <c r="A574">
        <v>436</v>
      </c>
      <c r="B574" s="1">
        <v>44803</v>
      </c>
      <c r="C574" s="27">
        <v>16132510</v>
      </c>
      <c r="D574" s="27" t="s">
        <v>11</v>
      </c>
      <c r="E574" s="27" t="s">
        <v>405</v>
      </c>
      <c r="F574" s="27" t="s">
        <v>28</v>
      </c>
      <c r="G574" s="27" t="s">
        <v>29</v>
      </c>
      <c r="H574" s="25">
        <v>44802.56763888889</v>
      </c>
    </row>
    <row r="575" spans="1:8" x14ac:dyDescent="0.25">
      <c r="A575">
        <v>435</v>
      </c>
      <c r="B575" s="1">
        <v>44803</v>
      </c>
      <c r="C575" s="27">
        <v>16132720</v>
      </c>
      <c r="D575" s="27" t="s">
        <v>11</v>
      </c>
      <c r="E575" s="27" t="s">
        <v>404</v>
      </c>
      <c r="F575" s="27" t="s">
        <v>10</v>
      </c>
      <c r="G575" s="27" t="s">
        <v>29</v>
      </c>
      <c r="H575" s="25">
        <v>44802.581701388888</v>
      </c>
    </row>
    <row r="576" spans="1:8" x14ac:dyDescent="0.25">
      <c r="A576">
        <v>438</v>
      </c>
      <c r="B576" s="1">
        <v>44803</v>
      </c>
      <c r="C576" s="27">
        <v>16136281</v>
      </c>
      <c r="D576" s="27" t="s">
        <v>15</v>
      </c>
      <c r="E576" s="27" t="s">
        <v>406</v>
      </c>
      <c r="F576" s="27" t="s">
        <v>28</v>
      </c>
      <c r="G576" s="27" t="s">
        <v>29</v>
      </c>
      <c r="H576" s="25">
        <v>44802.563657407409</v>
      </c>
    </row>
    <row r="577" spans="1:8" x14ac:dyDescent="0.25">
      <c r="A577">
        <v>437</v>
      </c>
      <c r="B577" s="1">
        <v>44803</v>
      </c>
      <c r="C577" s="27">
        <v>16130713</v>
      </c>
      <c r="D577" s="27" t="s">
        <v>11</v>
      </c>
      <c r="E577" s="27" t="s">
        <v>42</v>
      </c>
      <c r="F577" s="27" t="s">
        <v>24</v>
      </c>
      <c r="G577" s="27" t="s">
        <v>29</v>
      </c>
      <c r="H577" s="25">
        <v>44802.373865740738</v>
      </c>
    </row>
    <row r="578" spans="1:8" x14ac:dyDescent="0.25">
      <c r="A578">
        <v>434</v>
      </c>
      <c r="B578" s="1">
        <v>44803</v>
      </c>
      <c r="C578" s="27">
        <v>16132670</v>
      </c>
      <c r="D578" s="27" t="s">
        <v>11</v>
      </c>
      <c r="E578" s="27" t="s">
        <v>403</v>
      </c>
      <c r="F578" s="27" t="s">
        <v>28</v>
      </c>
      <c r="G578" s="27" t="s">
        <v>29</v>
      </c>
      <c r="H578" s="25">
        <v>44802.578865740739</v>
      </c>
    </row>
    <row r="579" spans="1:8" x14ac:dyDescent="0.25">
      <c r="A579">
        <v>156</v>
      </c>
      <c r="B579" s="1">
        <v>44803</v>
      </c>
      <c r="C579" s="27">
        <v>16138175</v>
      </c>
      <c r="D579" s="27" t="s">
        <v>7</v>
      </c>
      <c r="E579" s="27" t="s">
        <v>364</v>
      </c>
      <c r="F579" s="27" t="s">
        <v>10</v>
      </c>
      <c r="G579" s="27" t="s">
        <v>33</v>
      </c>
      <c r="H579" s="25">
        <v>44803.602326388886</v>
      </c>
    </row>
    <row r="580" spans="1:8" x14ac:dyDescent="0.25">
      <c r="A580">
        <v>155</v>
      </c>
      <c r="B580" s="1">
        <v>44803</v>
      </c>
      <c r="C580" s="27">
        <v>16133878</v>
      </c>
      <c r="D580" s="27" t="s">
        <v>7</v>
      </c>
      <c r="E580" s="27" t="s">
        <v>363</v>
      </c>
      <c r="F580" s="27"/>
      <c r="G580" s="27" t="s">
        <v>33</v>
      </c>
      <c r="H580" s="25">
        <v>44802.682222222225</v>
      </c>
    </row>
    <row r="581" spans="1:8" x14ac:dyDescent="0.25">
      <c r="A581">
        <v>433</v>
      </c>
      <c r="B581" s="1">
        <v>44803</v>
      </c>
      <c r="C581" s="27">
        <v>16130631</v>
      </c>
      <c r="D581" s="27" t="s">
        <v>11</v>
      </c>
      <c r="E581" s="27" t="s">
        <v>65</v>
      </c>
      <c r="F581" s="27" t="s">
        <v>28</v>
      </c>
      <c r="G581" s="27" t="s">
        <v>29</v>
      </c>
      <c r="H581" s="25">
        <v>44802.372627314813</v>
      </c>
    </row>
    <row r="582" spans="1:8" x14ac:dyDescent="0.25">
      <c r="A582">
        <v>432</v>
      </c>
      <c r="B582" s="1">
        <v>44803</v>
      </c>
      <c r="C582" s="27">
        <v>16122632</v>
      </c>
      <c r="D582" s="27" t="s">
        <v>11</v>
      </c>
      <c r="E582" s="27" t="s">
        <v>42</v>
      </c>
      <c r="F582" s="27" t="s">
        <v>28</v>
      </c>
      <c r="G582" s="27" t="s">
        <v>29</v>
      </c>
      <c r="H582" s="25">
        <v>44799.352337962962</v>
      </c>
    </row>
    <row r="583" spans="1:8" x14ac:dyDescent="0.25">
      <c r="A583">
        <v>145</v>
      </c>
      <c r="B583" s="1">
        <v>44803</v>
      </c>
      <c r="C583" s="27">
        <v>16125287</v>
      </c>
      <c r="D583" s="27" t="s">
        <v>14</v>
      </c>
      <c r="E583" s="27" t="s">
        <v>60</v>
      </c>
      <c r="F583" s="27" t="s">
        <v>10</v>
      </c>
      <c r="G583" s="27" t="s">
        <v>33</v>
      </c>
      <c r="H583" s="25">
        <v>44799.597534722219</v>
      </c>
    </row>
    <row r="584" spans="1:8" x14ac:dyDescent="0.25">
      <c r="A584">
        <v>422</v>
      </c>
      <c r="B584" s="1">
        <v>44803</v>
      </c>
      <c r="C584" s="27">
        <v>16135658</v>
      </c>
      <c r="D584" s="27" t="s">
        <v>14</v>
      </c>
      <c r="E584" s="27" t="s">
        <v>376</v>
      </c>
      <c r="F584" s="27" t="s">
        <v>28</v>
      </c>
      <c r="G584" s="27" t="s">
        <v>29</v>
      </c>
      <c r="H584" s="25">
        <v>44803.356608796297</v>
      </c>
    </row>
    <row r="585" spans="1:8" x14ac:dyDescent="0.25">
      <c r="A585">
        <v>421</v>
      </c>
      <c r="B585" s="1">
        <v>44803</v>
      </c>
      <c r="C585" s="27">
        <v>16134860</v>
      </c>
      <c r="D585" s="27" t="s">
        <v>15</v>
      </c>
      <c r="E585" s="27" t="s">
        <v>395</v>
      </c>
      <c r="F585" s="27" t="s">
        <v>28</v>
      </c>
      <c r="G585" s="27" t="s">
        <v>29</v>
      </c>
      <c r="H585" s="25">
        <v>44803.213287037041</v>
      </c>
    </row>
    <row r="586" spans="1:8" x14ac:dyDescent="0.25">
      <c r="A586">
        <v>424</v>
      </c>
      <c r="B586" s="1">
        <v>44803</v>
      </c>
      <c r="C586" s="27">
        <v>16135623</v>
      </c>
      <c r="D586" s="27" t="s">
        <v>14</v>
      </c>
      <c r="E586" s="27" t="s">
        <v>397</v>
      </c>
      <c r="F586" s="27" t="s">
        <v>24</v>
      </c>
      <c r="G586" s="27" t="s">
        <v>29</v>
      </c>
      <c r="H586" s="25">
        <v>44803.354513888888</v>
      </c>
    </row>
    <row r="587" spans="1:8" x14ac:dyDescent="0.25">
      <c r="A587">
        <v>423</v>
      </c>
      <c r="B587" s="1">
        <v>44803</v>
      </c>
      <c r="C587" s="27">
        <v>16132589</v>
      </c>
      <c r="D587" s="27" t="s">
        <v>12</v>
      </c>
      <c r="E587" s="27" t="s">
        <v>396</v>
      </c>
      <c r="F587" s="27" t="s">
        <v>28</v>
      </c>
      <c r="G587" s="27" t="s">
        <v>29</v>
      </c>
      <c r="H587" s="25">
        <v>44803.457152777781</v>
      </c>
    </row>
    <row r="588" spans="1:8" x14ac:dyDescent="0.25">
      <c r="A588">
        <v>420</v>
      </c>
      <c r="B588" s="1">
        <v>44803</v>
      </c>
      <c r="C588" s="27">
        <v>16132548</v>
      </c>
      <c r="D588" s="27" t="s">
        <v>12</v>
      </c>
      <c r="E588" s="27" t="s">
        <v>394</v>
      </c>
      <c r="F588" s="27" t="s">
        <v>28</v>
      </c>
      <c r="G588" s="27" t="s">
        <v>29</v>
      </c>
      <c r="H588" s="25">
        <v>44802.640023148146</v>
      </c>
    </row>
    <row r="589" spans="1:8" x14ac:dyDescent="0.25">
      <c r="A589">
        <v>417</v>
      </c>
      <c r="B589" s="1">
        <v>44803</v>
      </c>
      <c r="C589" s="27">
        <v>16133299</v>
      </c>
      <c r="D589" s="27" t="s">
        <v>15</v>
      </c>
      <c r="E589" s="27" t="s">
        <v>391</v>
      </c>
      <c r="F589" s="27" t="s">
        <v>24</v>
      </c>
      <c r="G589" s="27" t="s">
        <v>29</v>
      </c>
      <c r="H589" s="25">
        <v>44802.629733796297</v>
      </c>
    </row>
    <row r="590" spans="1:8" x14ac:dyDescent="0.25">
      <c r="A590">
        <v>416</v>
      </c>
      <c r="B590" s="1">
        <v>44803</v>
      </c>
      <c r="C590" s="27">
        <v>16132766</v>
      </c>
      <c r="D590" s="27" t="s">
        <v>15</v>
      </c>
      <c r="E590" s="27" t="s">
        <v>390</v>
      </c>
      <c r="F590" s="27" t="s">
        <v>28</v>
      </c>
      <c r="G590" s="27" t="s">
        <v>29</v>
      </c>
      <c r="H590" s="25">
        <v>44802.584456018521</v>
      </c>
    </row>
    <row r="591" spans="1:8" x14ac:dyDescent="0.25">
      <c r="A591">
        <v>419</v>
      </c>
      <c r="B591" s="1">
        <v>44803</v>
      </c>
      <c r="C591" s="27">
        <v>16133090</v>
      </c>
      <c r="D591" s="27" t="s">
        <v>15</v>
      </c>
      <c r="E591" s="27" t="s">
        <v>393</v>
      </c>
      <c r="F591" s="27" t="s">
        <v>24</v>
      </c>
      <c r="G591" s="27" t="s">
        <v>29</v>
      </c>
      <c r="H591" s="25">
        <v>44802.609502314815</v>
      </c>
    </row>
    <row r="592" spans="1:8" x14ac:dyDescent="0.25">
      <c r="A592">
        <v>418</v>
      </c>
      <c r="B592" s="1">
        <v>44803</v>
      </c>
      <c r="C592" s="27">
        <v>16133382</v>
      </c>
      <c r="D592" s="27" t="s">
        <v>11</v>
      </c>
      <c r="E592" s="27" t="s">
        <v>392</v>
      </c>
      <c r="F592" s="27" t="s">
        <v>28</v>
      </c>
      <c r="G592" s="27" t="s">
        <v>29</v>
      </c>
      <c r="H592" s="25">
        <v>44802.640162037038</v>
      </c>
    </row>
    <row r="593" spans="1:8" x14ac:dyDescent="0.25">
      <c r="A593">
        <v>431</v>
      </c>
      <c r="B593" s="1">
        <v>44803</v>
      </c>
      <c r="C593" s="27">
        <v>16125148</v>
      </c>
      <c r="D593" s="27" t="s">
        <v>11</v>
      </c>
      <c r="E593" s="27" t="s">
        <v>402</v>
      </c>
      <c r="F593" s="27" t="s">
        <v>28</v>
      </c>
      <c r="G593" s="27" t="s">
        <v>29</v>
      </c>
      <c r="H593" s="25">
        <v>44799.589895833335</v>
      </c>
    </row>
    <row r="594" spans="1:8" x14ac:dyDescent="0.25">
      <c r="A594">
        <v>430</v>
      </c>
      <c r="B594" s="1">
        <v>44803</v>
      </c>
      <c r="C594" s="27">
        <v>16124915</v>
      </c>
      <c r="D594" s="27" t="s">
        <v>11</v>
      </c>
      <c r="E594" s="27" t="s">
        <v>401</v>
      </c>
      <c r="F594" s="27" t="s">
        <v>28</v>
      </c>
      <c r="G594" s="27" t="s">
        <v>29</v>
      </c>
      <c r="H594" s="25">
        <v>44799.576631944445</v>
      </c>
    </row>
    <row r="595" spans="1:8" x14ac:dyDescent="0.25">
      <c r="A595">
        <v>144</v>
      </c>
      <c r="B595" s="1">
        <v>44803</v>
      </c>
      <c r="C595" s="27">
        <v>16125109</v>
      </c>
      <c r="D595" s="27" t="s">
        <v>12</v>
      </c>
      <c r="E595" s="27" t="s">
        <v>356</v>
      </c>
      <c r="F595" s="27" t="s">
        <v>10</v>
      </c>
      <c r="G595" s="27" t="s">
        <v>33</v>
      </c>
      <c r="H595" s="25">
        <v>44799.594340277778</v>
      </c>
    </row>
    <row r="596" spans="1:8" x14ac:dyDescent="0.25">
      <c r="A596">
        <v>143</v>
      </c>
      <c r="B596" s="1">
        <v>44803</v>
      </c>
      <c r="C596" s="27">
        <v>16125181</v>
      </c>
      <c r="D596" s="27" t="s">
        <v>14</v>
      </c>
      <c r="E596" s="27" t="s">
        <v>355</v>
      </c>
      <c r="F596" s="27" t="s">
        <v>10</v>
      </c>
      <c r="G596" s="27" t="s">
        <v>33</v>
      </c>
      <c r="H596" s="25">
        <v>44799.591400462959</v>
      </c>
    </row>
    <row r="597" spans="1:8" x14ac:dyDescent="0.25">
      <c r="A597">
        <v>429</v>
      </c>
      <c r="B597" s="1">
        <v>44803</v>
      </c>
      <c r="C597" s="27">
        <v>16124686</v>
      </c>
      <c r="D597" s="27" t="s">
        <v>12</v>
      </c>
      <c r="E597" s="27" t="s">
        <v>64</v>
      </c>
      <c r="F597" s="27" t="s">
        <v>21</v>
      </c>
      <c r="G597" s="27" t="s">
        <v>29</v>
      </c>
      <c r="H597" s="25">
        <v>44799.579201388886</v>
      </c>
    </row>
    <row r="598" spans="1:8" x14ac:dyDescent="0.25">
      <c r="A598">
        <v>426</v>
      </c>
      <c r="B598" s="1">
        <v>44803</v>
      </c>
      <c r="C598" s="27">
        <v>16135606</v>
      </c>
      <c r="D598" s="27" t="s">
        <v>14</v>
      </c>
      <c r="E598" s="27" t="s">
        <v>398</v>
      </c>
      <c r="F598" s="27" t="s">
        <v>28</v>
      </c>
      <c r="G598" s="27" t="s">
        <v>29</v>
      </c>
      <c r="H598" s="25">
        <v>44803.352222222224</v>
      </c>
    </row>
    <row r="599" spans="1:8" x14ac:dyDescent="0.25">
      <c r="A599">
        <v>425</v>
      </c>
      <c r="B599" s="1">
        <v>44803</v>
      </c>
      <c r="C599" s="27">
        <v>16117927</v>
      </c>
      <c r="D599" s="27" t="s">
        <v>11</v>
      </c>
      <c r="E599" s="27" t="s">
        <v>370</v>
      </c>
      <c r="F599" s="27" t="s">
        <v>28</v>
      </c>
      <c r="G599" s="27" t="s">
        <v>29</v>
      </c>
      <c r="H599" s="25">
        <v>44803.343622685185</v>
      </c>
    </row>
    <row r="600" spans="1:8" x14ac:dyDescent="0.25">
      <c r="A600">
        <v>428</v>
      </c>
      <c r="B600" s="1">
        <v>44803</v>
      </c>
      <c r="C600" s="27">
        <v>16130626</v>
      </c>
      <c r="D600" s="27" t="s">
        <v>11</v>
      </c>
      <c r="E600" s="27" t="s">
        <v>400</v>
      </c>
      <c r="F600" s="27" t="s">
        <v>28</v>
      </c>
      <c r="G600" s="27" t="s">
        <v>29</v>
      </c>
      <c r="H600" s="25">
        <v>44802.366875</v>
      </c>
    </row>
    <row r="601" spans="1:8" x14ac:dyDescent="0.25">
      <c r="A601">
        <v>427</v>
      </c>
      <c r="B601" s="1">
        <v>44803</v>
      </c>
      <c r="C601" s="27">
        <v>16133295</v>
      </c>
      <c r="D601" s="27" t="s">
        <v>15</v>
      </c>
      <c r="E601" s="27" t="s">
        <v>399</v>
      </c>
      <c r="F601" s="27" t="s">
        <v>28</v>
      </c>
      <c r="G601" s="27" t="s">
        <v>29</v>
      </c>
      <c r="H601" s="25">
        <v>44802.60019675926</v>
      </c>
    </row>
    <row r="602" spans="1:8" x14ac:dyDescent="0.25">
      <c r="A602">
        <v>361</v>
      </c>
      <c r="B602" s="1">
        <v>44803</v>
      </c>
      <c r="C602" s="27">
        <v>16137947</v>
      </c>
      <c r="D602" s="27" t="s">
        <v>7</v>
      </c>
      <c r="E602" s="27" t="s">
        <v>263</v>
      </c>
      <c r="F602" s="27" t="s">
        <v>10</v>
      </c>
      <c r="G602" s="27" t="s">
        <v>30</v>
      </c>
      <c r="H602" s="25">
        <v>44803.578761574077</v>
      </c>
    </row>
    <row r="603" spans="1:8" x14ac:dyDescent="0.25">
      <c r="A603">
        <v>352</v>
      </c>
      <c r="B603" s="1">
        <v>44803</v>
      </c>
      <c r="C603" s="27">
        <v>16132557</v>
      </c>
      <c r="D603" s="27" t="s">
        <v>12</v>
      </c>
      <c r="E603" s="27" t="s">
        <v>214</v>
      </c>
      <c r="F603" s="27" t="s">
        <v>10</v>
      </c>
      <c r="G603" s="27" t="s">
        <v>30</v>
      </c>
      <c r="H603" s="25">
        <v>44802.583287037036</v>
      </c>
    </row>
    <row r="604" spans="1:8" x14ac:dyDescent="0.25">
      <c r="A604">
        <v>359</v>
      </c>
      <c r="B604" s="1">
        <v>44803</v>
      </c>
      <c r="C604" s="27">
        <v>16126425</v>
      </c>
      <c r="D604" s="27" t="s">
        <v>7</v>
      </c>
      <c r="E604" s="27" t="s">
        <v>261</v>
      </c>
      <c r="F604" s="27" t="s">
        <v>28</v>
      </c>
      <c r="G604" s="27" t="s">
        <v>30</v>
      </c>
      <c r="H604" s="25">
        <v>44799.662245370368</v>
      </c>
    </row>
    <row r="605" spans="1:8" x14ac:dyDescent="0.25">
      <c r="A605">
        <v>362</v>
      </c>
      <c r="B605" s="1">
        <v>44803</v>
      </c>
      <c r="C605" s="27">
        <v>16138534</v>
      </c>
      <c r="D605" s="27" t="s">
        <v>7</v>
      </c>
      <c r="E605" s="27" t="s">
        <v>264</v>
      </c>
      <c r="F605" s="27" t="s">
        <v>17</v>
      </c>
      <c r="G605" s="27" t="s">
        <v>30</v>
      </c>
      <c r="H605" s="25">
        <v>44803.635416666664</v>
      </c>
    </row>
    <row r="606" spans="1:8" x14ac:dyDescent="0.25">
      <c r="A606">
        <v>660</v>
      </c>
      <c r="B606" s="1">
        <v>44803</v>
      </c>
      <c r="C606" s="27">
        <v>16137199</v>
      </c>
      <c r="D606" s="27" t="s">
        <v>23</v>
      </c>
      <c r="E606" s="27" t="s">
        <v>165</v>
      </c>
      <c r="F606" s="27" t="s">
        <v>10</v>
      </c>
      <c r="G606" s="27" t="s">
        <v>20</v>
      </c>
      <c r="H606" s="25">
        <v>44803.484953703701</v>
      </c>
    </row>
    <row r="607" spans="1:8" x14ac:dyDescent="0.25">
      <c r="A607">
        <v>364</v>
      </c>
      <c r="B607" s="1">
        <v>44803</v>
      </c>
      <c r="C607" s="27">
        <v>16136781</v>
      </c>
      <c r="D607" s="27" t="s">
        <v>14</v>
      </c>
      <c r="E607" s="27" t="s">
        <v>256</v>
      </c>
      <c r="F607" s="27" t="s">
        <v>10</v>
      </c>
      <c r="G607" s="27" t="s">
        <v>30</v>
      </c>
      <c r="H607" s="25">
        <v>44803.386041666665</v>
      </c>
    </row>
    <row r="608" spans="1:8" x14ac:dyDescent="0.25">
      <c r="A608">
        <v>363</v>
      </c>
      <c r="B608" s="1">
        <v>44803</v>
      </c>
      <c r="C608" s="27">
        <v>16135845</v>
      </c>
      <c r="D608" s="27" t="s">
        <v>11</v>
      </c>
      <c r="E608" s="27" t="s">
        <v>231</v>
      </c>
      <c r="F608" s="27" t="s">
        <v>10</v>
      </c>
      <c r="G608" s="27" t="s">
        <v>30</v>
      </c>
      <c r="H608" s="25">
        <v>44803.370706018519</v>
      </c>
    </row>
    <row r="609" spans="1:8" x14ac:dyDescent="0.25">
      <c r="A609">
        <v>358</v>
      </c>
      <c r="B609" s="1">
        <v>44803</v>
      </c>
      <c r="C609" s="27">
        <v>16133641</v>
      </c>
      <c r="D609" s="27" t="s">
        <v>12</v>
      </c>
      <c r="E609" s="27" t="s">
        <v>255</v>
      </c>
      <c r="F609" s="27" t="s">
        <v>10</v>
      </c>
      <c r="G609" s="27" t="s">
        <v>30</v>
      </c>
      <c r="H609" s="25">
        <v>44802.657696759263</v>
      </c>
    </row>
    <row r="610" spans="1:8" x14ac:dyDescent="0.25">
      <c r="A610">
        <v>350</v>
      </c>
      <c r="B610" s="1">
        <v>44803</v>
      </c>
      <c r="C610" s="27">
        <v>16130977</v>
      </c>
      <c r="D610" s="27" t="s">
        <v>7</v>
      </c>
      <c r="E610" s="27" t="s">
        <v>258</v>
      </c>
      <c r="F610" s="27" t="s">
        <v>10</v>
      </c>
      <c r="G610" s="27" t="s">
        <v>30</v>
      </c>
      <c r="H610" s="25">
        <v>44802.555694444447</v>
      </c>
    </row>
    <row r="611" spans="1:8" x14ac:dyDescent="0.25">
      <c r="A611">
        <v>351</v>
      </c>
      <c r="B611" s="1">
        <v>44803</v>
      </c>
      <c r="C611" s="27">
        <v>16133113</v>
      </c>
      <c r="D611" s="27" t="s">
        <v>7</v>
      </c>
      <c r="E611" s="27" t="s">
        <v>259</v>
      </c>
      <c r="F611" s="27" t="s">
        <v>10</v>
      </c>
      <c r="G611" s="27" t="s">
        <v>30</v>
      </c>
      <c r="H611" s="25">
        <v>44802.611712962964</v>
      </c>
    </row>
    <row r="612" spans="1:8" x14ac:dyDescent="0.25">
      <c r="A612">
        <v>353</v>
      </c>
      <c r="B612" s="1">
        <v>44803</v>
      </c>
      <c r="C612" s="27">
        <v>16132739</v>
      </c>
      <c r="D612" s="27" t="s">
        <v>12</v>
      </c>
      <c r="E612" s="27" t="s">
        <v>250</v>
      </c>
      <c r="F612" s="27" t="s">
        <v>10</v>
      </c>
      <c r="G612" s="27" t="s">
        <v>30</v>
      </c>
      <c r="H612" s="25">
        <v>44802.583553240744</v>
      </c>
    </row>
    <row r="613" spans="1:8" x14ac:dyDescent="0.25">
      <c r="A613">
        <v>354</v>
      </c>
      <c r="B613" s="1">
        <v>44803</v>
      </c>
      <c r="C613" s="27">
        <v>16132607</v>
      </c>
      <c r="D613" s="27" t="s">
        <v>12</v>
      </c>
      <c r="E613" s="27" t="s">
        <v>239</v>
      </c>
      <c r="F613" s="27" t="s">
        <v>10</v>
      </c>
      <c r="G613" s="27" t="s">
        <v>30</v>
      </c>
      <c r="H613" s="25">
        <v>44802.583657407406</v>
      </c>
    </row>
    <row r="614" spans="1:8" x14ac:dyDescent="0.25">
      <c r="A614">
        <v>357</v>
      </c>
      <c r="B614" s="1">
        <v>44803</v>
      </c>
      <c r="C614" s="27">
        <v>16133635</v>
      </c>
      <c r="D614" s="27" t="s">
        <v>12</v>
      </c>
      <c r="E614" s="27" t="s">
        <v>254</v>
      </c>
      <c r="F614" s="27" t="s">
        <v>10</v>
      </c>
      <c r="G614" s="27" t="s">
        <v>30</v>
      </c>
      <c r="H614" s="25">
        <v>44802.657407407409</v>
      </c>
    </row>
    <row r="615" spans="1:8" x14ac:dyDescent="0.25">
      <c r="A615">
        <v>356</v>
      </c>
      <c r="B615" s="1">
        <v>44803</v>
      </c>
      <c r="C615" s="27">
        <v>16133607</v>
      </c>
      <c r="D615" s="27" t="s">
        <v>12</v>
      </c>
      <c r="E615" s="27" t="s">
        <v>253</v>
      </c>
      <c r="F615" s="27" t="s">
        <v>10</v>
      </c>
      <c r="G615" s="27" t="s">
        <v>30</v>
      </c>
      <c r="H615" s="25">
        <v>44802.65697916667</v>
      </c>
    </row>
    <row r="616" spans="1:8" x14ac:dyDescent="0.25">
      <c r="A616">
        <v>355</v>
      </c>
      <c r="B616" s="1">
        <v>44803</v>
      </c>
      <c r="C616" s="27">
        <v>16133572</v>
      </c>
      <c r="D616" s="27" t="s">
        <v>12</v>
      </c>
      <c r="E616" s="27" t="s">
        <v>252</v>
      </c>
      <c r="F616" s="27" t="s">
        <v>10</v>
      </c>
      <c r="G616" s="27" t="s">
        <v>30</v>
      </c>
      <c r="H616" s="25">
        <v>44802.656504629631</v>
      </c>
    </row>
    <row r="617" spans="1:8" x14ac:dyDescent="0.25">
      <c r="A617">
        <v>365</v>
      </c>
      <c r="B617" s="1">
        <v>44803</v>
      </c>
      <c r="C617" s="27">
        <v>16132814</v>
      </c>
      <c r="D617" s="27" t="s">
        <v>14</v>
      </c>
      <c r="E617" s="27" t="s">
        <v>265</v>
      </c>
      <c r="F617" s="27" t="s">
        <v>10</v>
      </c>
      <c r="G617" s="27" t="s">
        <v>30</v>
      </c>
      <c r="H617" s="25">
        <v>44802.587847222225</v>
      </c>
    </row>
    <row r="618" spans="1:8" x14ac:dyDescent="0.25">
      <c r="A618">
        <v>370</v>
      </c>
      <c r="B618" s="1">
        <v>44803</v>
      </c>
      <c r="C618" s="27">
        <v>16136663</v>
      </c>
      <c r="D618" s="27" t="s">
        <v>11</v>
      </c>
      <c r="E618" s="27" t="s">
        <v>270</v>
      </c>
      <c r="F618" s="27" t="s">
        <v>10</v>
      </c>
      <c r="G618" s="27" t="s">
        <v>30</v>
      </c>
      <c r="H618" s="25">
        <v>44802.371423611112</v>
      </c>
    </row>
    <row r="619" spans="1:8" x14ac:dyDescent="0.25">
      <c r="A619">
        <v>371</v>
      </c>
      <c r="B619" s="1">
        <v>44803</v>
      </c>
      <c r="C619" s="27">
        <v>16133392</v>
      </c>
      <c r="D619" s="27" t="s">
        <v>7</v>
      </c>
      <c r="E619" s="27" t="s">
        <v>260</v>
      </c>
      <c r="F619" s="27" t="s">
        <v>31</v>
      </c>
      <c r="G619" s="27" t="s">
        <v>30</v>
      </c>
      <c r="H619" s="25">
        <v>44802.638726851852</v>
      </c>
    </row>
    <row r="620" spans="1:8" x14ac:dyDescent="0.25">
      <c r="A620">
        <v>360</v>
      </c>
      <c r="B620" s="1">
        <v>44803</v>
      </c>
      <c r="C620" s="27">
        <v>16126370</v>
      </c>
      <c r="D620" s="27" t="s">
        <v>7</v>
      </c>
      <c r="E620" s="27" t="s">
        <v>262</v>
      </c>
      <c r="F620" s="27" t="s">
        <v>10</v>
      </c>
      <c r="G620" s="27" t="s">
        <v>30</v>
      </c>
      <c r="H620" s="25">
        <v>44799.658946759257</v>
      </c>
    </row>
    <row r="621" spans="1:8" x14ac:dyDescent="0.25">
      <c r="A621">
        <v>369</v>
      </c>
      <c r="B621" s="1">
        <v>44803</v>
      </c>
      <c r="C621" s="27">
        <v>16133188</v>
      </c>
      <c r="D621" s="27" t="s">
        <v>11</v>
      </c>
      <c r="E621" s="27" t="s">
        <v>269</v>
      </c>
      <c r="F621" s="27" t="s">
        <v>28</v>
      </c>
      <c r="G621" s="27" t="s">
        <v>30</v>
      </c>
      <c r="H621" s="25">
        <v>44802.616979166669</v>
      </c>
    </row>
    <row r="622" spans="1:8" x14ac:dyDescent="0.25">
      <c r="A622">
        <v>366</v>
      </c>
      <c r="B622" s="1">
        <v>44803</v>
      </c>
      <c r="C622" s="27">
        <v>16132891</v>
      </c>
      <c r="D622" s="27" t="s">
        <v>14</v>
      </c>
      <c r="E622" s="27" t="s">
        <v>266</v>
      </c>
      <c r="F622" s="27" t="s">
        <v>10</v>
      </c>
      <c r="G622" s="27" t="s">
        <v>30</v>
      </c>
      <c r="H622" s="25">
        <v>44802.592430555553</v>
      </c>
    </row>
    <row r="623" spans="1:8" x14ac:dyDescent="0.25">
      <c r="A623">
        <v>367</v>
      </c>
      <c r="B623" s="1">
        <v>44803</v>
      </c>
      <c r="C623" s="27">
        <v>16133004</v>
      </c>
      <c r="D623" s="27" t="s">
        <v>11</v>
      </c>
      <c r="E623" s="27" t="s">
        <v>267</v>
      </c>
      <c r="F623" s="27" t="s">
        <v>10</v>
      </c>
      <c r="G623" s="27" t="s">
        <v>30</v>
      </c>
      <c r="H623" s="25">
        <v>44802.601111111115</v>
      </c>
    </row>
    <row r="624" spans="1:8" x14ac:dyDescent="0.25">
      <c r="A624">
        <v>368</v>
      </c>
      <c r="B624" s="1">
        <v>44803</v>
      </c>
      <c r="C624" s="27">
        <v>16133145</v>
      </c>
      <c r="D624" s="27" t="s">
        <v>11</v>
      </c>
      <c r="E624" s="27" t="s">
        <v>268</v>
      </c>
      <c r="F624" s="27" t="s">
        <v>10</v>
      </c>
      <c r="G624" s="27" t="s">
        <v>30</v>
      </c>
      <c r="H624" s="25">
        <v>44802.612754629627</v>
      </c>
    </row>
    <row r="625" spans="1:8" x14ac:dyDescent="0.25">
      <c r="A625">
        <v>388</v>
      </c>
      <c r="B625" s="1">
        <v>44802</v>
      </c>
      <c r="C625" s="27">
        <v>16125405</v>
      </c>
      <c r="D625" s="27" t="s">
        <v>11</v>
      </c>
      <c r="E625" s="27" t="s">
        <v>286</v>
      </c>
      <c r="F625" s="27" t="s">
        <v>10</v>
      </c>
      <c r="G625" s="27" t="s">
        <v>30</v>
      </c>
      <c r="H625" s="25">
        <v>44799.604212962964</v>
      </c>
    </row>
    <row r="626" spans="1:8" x14ac:dyDescent="0.25">
      <c r="A626">
        <v>391</v>
      </c>
      <c r="B626" s="1">
        <v>44802</v>
      </c>
      <c r="C626" s="27">
        <v>16130602</v>
      </c>
      <c r="D626" s="27" t="s">
        <v>11</v>
      </c>
      <c r="E626" s="27" t="s">
        <v>372</v>
      </c>
      <c r="F626" s="27" t="s">
        <v>28</v>
      </c>
      <c r="G626" s="27" t="s">
        <v>29</v>
      </c>
      <c r="H626" s="25">
        <v>44802.365115740744</v>
      </c>
    </row>
    <row r="627" spans="1:8" x14ac:dyDescent="0.25">
      <c r="A627">
        <v>394</v>
      </c>
      <c r="B627" s="1">
        <v>44802</v>
      </c>
      <c r="C627" s="27">
        <v>16125823</v>
      </c>
      <c r="D627" s="27" t="s">
        <v>7</v>
      </c>
      <c r="E627" s="27" t="s">
        <v>375</v>
      </c>
      <c r="F627" s="27" t="s">
        <v>24</v>
      </c>
      <c r="G627" s="27" t="s">
        <v>29</v>
      </c>
      <c r="H627" s="25">
        <v>44799.62804398148</v>
      </c>
    </row>
    <row r="628" spans="1:8" x14ac:dyDescent="0.25">
      <c r="A628">
        <v>393</v>
      </c>
      <c r="B628" s="1">
        <v>44802</v>
      </c>
      <c r="C628" s="27">
        <v>16130963</v>
      </c>
      <c r="D628" s="27" t="s">
        <v>14</v>
      </c>
      <c r="E628" s="27" t="s">
        <v>373</v>
      </c>
      <c r="F628" s="27" t="s">
        <v>24</v>
      </c>
      <c r="G628" s="27" t="s">
        <v>29</v>
      </c>
      <c r="H628" s="25">
        <v>44802.392199074071</v>
      </c>
    </row>
    <row r="629" spans="1:8" x14ac:dyDescent="0.25">
      <c r="A629">
        <v>392</v>
      </c>
      <c r="B629" s="1">
        <v>44802</v>
      </c>
      <c r="C629" s="27">
        <v>16130864</v>
      </c>
      <c r="D629" s="27" t="s">
        <v>11</v>
      </c>
      <c r="E629" s="27" t="s">
        <v>374</v>
      </c>
      <c r="F629" s="27" t="s">
        <v>28</v>
      </c>
      <c r="G629" s="27" t="s">
        <v>29</v>
      </c>
      <c r="H629" s="25">
        <v>44802.385671296295</v>
      </c>
    </row>
    <row r="630" spans="1:8" x14ac:dyDescent="0.25">
      <c r="A630">
        <v>387</v>
      </c>
      <c r="B630" s="1">
        <v>44802</v>
      </c>
      <c r="C630" s="27">
        <v>16125528</v>
      </c>
      <c r="D630" s="27" t="s">
        <v>11</v>
      </c>
      <c r="E630" s="27" t="s">
        <v>285</v>
      </c>
      <c r="F630" s="27" t="s">
        <v>10</v>
      </c>
      <c r="G630" s="27" t="s">
        <v>30</v>
      </c>
      <c r="H630" s="25">
        <v>44799.611388888887</v>
      </c>
    </row>
    <row r="631" spans="1:8" x14ac:dyDescent="0.25">
      <c r="A631">
        <v>383</v>
      </c>
      <c r="B631" s="1">
        <v>44802</v>
      </c>
      <c r="C631" s="27">
        <v>16131122</v>
      </c>
      <c r="D631" s="27" t="s">
        <v>14</v>
      </c>
      <c r="E631" s="27" t="s">
        <v>282</v>
      </c>
      <c r="F631" s="27" t="s">
        <v>10</v>
      </c>
      <c r="G631" s="27" t="s">
        <v>30</v>
      </c>
      <c r="H631" s="25">
        <v>44802.403402777774</v>
      </c>
    </row>
    <row r="632" spans="1:8" x14ac:dyDescent="0.25">
      <c r="A632">
        <v>382</v>
      </c>
      <c r="B632" s="1">
        <v>44802</v>
      </c>
      <c r="C632" s="27">
        <v>16130726</v>
      </c>
      <c r="D632" s="27" t="s">
        <v>14</v>
      </c>
      <c r="E632" s="27" t="s">
        <v>274</v>
      </c>
      <c r="F632" s="27" t="s">
        <v>17</v>
      </c>
      <c r="G632" s="27" t="s">
        <v>30</v>
      </c>
      <c r="H632" s="25">
        <v>44802.374039351853</v>
      </c>
    </row>
    <row r="633" spans="1:8" x14ac:dyDescent="0.25">
      <c r="A633">
        <v>381</v>
      </c>
      <c r="B633" s="1">
        <v>44802</v>
      </c>
      <c r="C633" s="27">
        <v>16124789</v>
      </c>
      <c r="D633" s="27" t="s">
        <v>11</v>
      </c>
      <c r="E633" s="27" t="s">
        <v>273</v>
      </c>
      <c r="F633" s="27" t="s">
        <v>18</v>
      </c>
      <c r="G633" s="27" t="s">
        <v>30</v>
      </c>
      <c r="H633" s="25">
        <v>44799.569050925929</v>
      </c>
    </row>
    <row r="634" spans="1:8" x14ac:dyDescent="0.25">
      <c r="A634">
        <v>384</v>
      </c>
      <c r="B634" s="1">
        <v>44802</v>
      </c>
      <c r="C634" s="27">
        <v>16104896</v>
      </c>
      <c r="D634" s="27" t="s">
        <v>14</v>
      </c>
      <c r="E634" s="27" t="s">
        <v>283</v>
      </c>
      <c r="F634" s="27" t="s">
        <v>28</v>
      </c>
      <c r="G634" s="27" t="s">
        <v>30</v>
      </c>
      <c r="H634" s="25">
        <v>44802.494143518517</v>
      </c>
    </row>
    <row r="635" spans="1:8" x14ac:dyDescent="0.25">
      <c r="A635">
        <v>380</v>
      </c>
      <c r="B635" s="1">
        <v>44802</v>
      </c>
      <c r="C635" s="27">
        <v>16125227</v>
      </c>
      <c r="D635" s="27" t="s">
        <v>11</v>
      </c>
      <c r="E635" s="27" t="s">
        <v>271</v>
      </c>
      <c r="F635" s="27" t="s">
        <v>10</v>
      </c>
      <c r="G635" s="27" t="s">
        <v>30</v>
      </c>
      <c r="H635" s="25">
        <v>44799.593773148146</v>
      </c>
    </row>
    <row r="636" spans="1:8" x14ac:dyDescent="0.25">
      <c r="A636">
        <v>386</v>
      </c>
      <c r="B636" s="1">
        <v>44802</v>
      </c>
      <c r="C636" s="27">
        <v>16133584</v>
      </c>
      <c r="D636" s="27" t="s">
        <v>11</v>
      </c>
      <c r="E636" s="27" t="s">
        <v>265</v>
      </c>
      <c r="F636" s="27"/>
      <c r="G636" s="27" t="s">
        <v>30</v>
      </c>
      <c r="H636" s="25">
        <v>44802.652743055558</v>
      </c>
    </row>
    <row r="637" spans="1:8" x14ac:dyDescent="0.25">
      <c r="A637">
        <v>385</v>
      </c>
      <c r="B637" s="1">
        <v>44802</v>
      </c>
      <c r="C637" s="27">
        <v>16125593</v>
      </c>
      <c r="D637" s="27" t="s">
        <v>11</v>
      </c>
      <c r="E637" s="27" t="s">
        <v>284</v>
      </c>
      <c r="F637" s="27" t="s">
        <v>10</v>
      </c>
      <c r="G637" s="27" t="s">
        <v>30</v>
      </c>
      <c r="H637" s="25">
        <v>44799.615810185183</v>
      </c>
    </row>
    <row r="638" spans="1:8" x14ac:dyDescent="0.25">
      <c r="A638">
        <v>395</v>
      </c>
      <c r="B638" s="1">
        <v>44802</v>
      </c>
      <c r="C638" s="27">
        <v>16126310</v>
      </c>
      <c r="D638" s="27" t="s">
        <v>14</v>
      </c>
      <c r="E638" s="27" t="s">
        <v>376</v>
      </c>
      <c r="F638" s="27" t="s">
        <v>28</v>
      </c>
      <c r="G638" s="27" t="s">
        <v>29</v>
      </c>
      <c r="H638" s="25">
        <v>44799.654479166667</v>
      </c>
    </row>
    <row r="639" spans="1:8" x14ac:dyDescent="0.25">
      <c r="A639">
        <v>406</v>
      </c>
      <c r="B639" s="1">
        <v>44802</v>
      </c>
      <c r="C639" s="27">
        <v>16125371</v>
      </c>
      <c r="D639" s="27" t="s">
        <v>15</v>
      </c>
      <c r="E639" s="27" t="s">
        <v>48</v>
      </c>
      <c r="F639" s="27" t="s">
        <v>28</v>
      </c>
      <c r="G639" s="27" t="s">
        <v>29</v>
      </c>
      <c r="H639" s="25">
        <v>44799.602326388886</v>
      </c>
    </row>
    <row r="640" spans="1:8" x14ac:dyDescent="0.25">
      <c r="A640">
        <v>405</v>
      </c>
      <c r="B640" s="1">
        <v>44802</v>
      </c>
      <c r="C640" s="27">
        <v>16122348</v>
      </c>
      <c r="D640" s="27" t="s">
        <v>11</v>
      </c>
      <c r="E640" s="27" t="s">
        <v>65</v>
      </c>
      <c r="F640" s="27" t="s">
        <v>24</v>
      </c>
      <c r="G640" s="27" t="s">
        <v>29</v>
      </c>
      <c r="H640" s="25">
        <v>44799.333877314813</v>
      </c>
    </row>
    <row r="641" spans="1:8" x14ac:dyDescent="0.25">
      <c r="A641">
        <v>404</v>
      </c>
      <c r="B641" s="1">
        <v>44802</v>
      </c>
      <c r="C641" s="27">
        <v>16114871</v>
      </c>
      <c r="D641" s="27" t="s">
        <v>46</v>
      </c>
      <c r="E641" s="27" t="s">
        <v>369</v>
      </c>
      <c r="F641" s="27" t="s">
        <v>28</v>
      </c>
      <c r="G641" s="27" t="s">
        <v>29</v>
      </c>
      <c r="H641" s="25">
        <v>44797.665879629632</v>
      </c>
    </row>
    <row r="642" spans="1:8" x14ac:dyDescent="0.25">
      <c r="A642">
        <v>407</v>
      </c>
      <c r="B642" s="1">
        <v>44802</v>
      </c>
      <c r="C642" s="27">
        <v>16109356</v>
      </c>
      <c r="D642" s="27" t="s">
        <v>11</v>
      </c>
      <c r="E642" s="27" t="s">
        <v>66</v>
      </c>
      <c r="F642" s="27" t="s">
        <v>28</v>
      </c>
      <c r="G642" s="27" t="s">
        <v>29</v>
      </c>
      <c r="H642" s="25">
        <v>44796.573958333334</v>
      </c>
    </row>
    <row r="643" spans="1:8" x14ac:dyDescent="0.25">
      <c r="A643">
        <v>410</v>
      </c>
      <c r="B643" s="1">
        <v>44802</v>
      </c>
      <c r="C643" s="27">
        <v>16125478</v>
      </c>
      <c r="D643" s="27" t="s">
        <v>11</v>
      </c>
      <c r="E643" s="27" t="s">
        <v>384</v>
      </c>
      <c r="F643" s="27" t="s">
        <v>28</v>
      </c>
      <c r="G643" s="27" t="s">
        <v>29</v>
      </c>
      <c r="H643" s="25">
        <v>44799.609143518515</v>
      </c>
    </row>
    <row r="644" spans="1:8" x14ac:dyDescent="0.25">
      <c r="A644">
        <v>409</v>
      </c>
      <c r="B644" s="1">
        <v>44802</v>
      </c>
      <c r="C644" s="27">
        <v>16108043</v>
      </c>
      <c r="D644" s="27" t="s">
        <v>46</v>
      </c>
      <c r="E644" s="27" t="s">
        <v>47</v>
      </c>
      <c r="F644" s="27" t="s">
        <v>28</v>
      </c>
      <c r="G644" s="27" t="s">
        <v>29</v>
      </c>
      <c r="H644" s="25">
        <v>44796.671458333331</v>
      </c>
    </row>
    <row r="645" spans="1:8" x14ac:dyDescent="0.25">
      <c r="A645">
        <v>408</v>
      </c>
      <c r="B645" s="1">
        <v>44802</v>
      </c>
      <c r="C645" s="27">
        <v>16112378</v>
      </c>
      <c r="D645" s="27" t="s">
        <v>11</v>
      </c>
      <c r="E645" s="27" t="s">
        <v>65</v>
      </c>
      <c r="F645" s="27" t="s">
        <v>28</v>
      </c>
      <c r="G645" s="27" t="s">
        <v>29</v>
      </c>
      <c r="H645" s="25">
        <v>44797.356261574074</v>
      </c>
    </row>
    <row r="646" spans="1:8" x14ac:dyDescent="0.25">
      <c r="A646">
        <v>403</v>
      </c>
      <c r="B646" s="1">
        <v>44802</v>
      </c>
      <c r="C646" s="27">
        <v>16125733</v>
      </c>
      <c r="D646" s="27" t="s">
        <v>14</v>
      </c>
      <c r="E646" s="27" t="s">
        <v>383</v>
      </c>
      <c r="F646" s="27" t="s">
        <v>28</v>
      </c>
      <c r="G646" s="27" t="s">
        <v>29</v>
      </c>
      <c r="H646" s="25">
        <v>44799.623645833337</v>
      </c>
    </row>
    <row r="647" spans="1:8" x14ac:dyDescent="0.25">
      <c r="A647">
        <v>398</v>
      </c>
      <c r="B647" s="1">
        <v>44802</v>
      </c>
      <c r="C647" s="27">
        <v>16132278</v>
      </c>
      <c r="D647" s="27" t="s">
        <v>7</v>
      </c>
      <c r="E647" s="27" t="s">
        <v>379</v>
      </c>
      <c r="F647" s="27" t="s">
        <v>28</v>
      </c>
      <c r="G647" s="27" t="s">
        <v>29</v>
      </c>
      <c r="H647" s="25">
        <v>44802.546643518515</v>
      </c>
    </row>
    <row r="648" spans="1:8" x14ac:dyDescent="0.25">
      <c r="A648">
        <v>397</v>
      </c>
      <c r="B648" s="1">
        <v>44802</v>
      </c>
      <c r="C648" s="27">
        <v>16132426</v>
      </c>
      <c r="D648" s="27" t="s">
        <v>7</v>
      </c>
      <c r="E648" s="27" t="s">
        <v>378</v>
      </c>
      <c r="F648" s="27" t="s">
        <v>28</v>
      </c>
      <c r="G648" s="27" t="s">
        <v>29</v>
      </c>
      <c r="H648" s="25">
        <v>44802.544745370367</v>
      </c>
    </row>
    <row r="649" spans="1:8" x14ac:dyDescent="0.25">
      <c r="A649">
        <v>396</v>
      </c>
      <c r="B649" s="1">
        <v>44802</v>
      </c>
      <c r="C649" s="27">
        <v>16130579</v>
      </c>
      <c r="D649" s="27" t="s">
        <v>11</v>
      </c>
      <c r="E649" s="27" t="s">
        <v>377</v>
      </c>
      <c r="F649" s="27" t="s">
        <v>24</v>
      </c>
      <c r="G649" s="27" t="s">
        <v>29</v>
      </c>
      <c r="H649" s="25">
        <v>44802.36383101852</v>
      </c>
    </row>
    <row r="650" spans="1:8" x14ac:dyDescent="0.25">
      <c r="A650">
        <v>399</v>
      </c>
      <c r="B650" s="1">
        <v>44802</v>
      </c>
      <c r="C650" s="27">
        <v>16132304</v>
      </c>
      <c r="D650" s="27" t="s">
        <v>7</v>
      </c>
      <c r="E650" s="27" t="s">
        <v>380</v>
      </c>
      <c r="F650" s="27" t="s">
        <v>28</v>
      </c>
      <c r="G650" s="27" t="s">
        <v>29</v>
      </c>
      <c r="H650" s="25">
        <v>44802.549247685187</v>
      </c>
    </row>
    <row r="651" spans="1:8" x14ac:dyDescent="0.25">
      <c r="A651">
        <v>402</v>
      </c>
      <c r="B651" s="1">
        <v>44802</v>
      </c>
      <c r="C651" s="27">
        <v>16132243</v>
      </c>
      <c r="D651" s="27" t="s">
        <v>7</v>
      </c>
      <c r="E651" s="27" t="s">
        <v>382</v>
      </c>
      <c r="F651" s="27" t="s">
        <v>28</v>
      </c>
      <c r="G651" s="27" t="s">
        <v>29</v>
      </c>
      <c r="H651" s="25">
        <v>44802.54215277778</v>
      </c>
    </row>
    <row r="652" spans="1:8" x14ac:dyDescent="0.25">
      <c r="A652">
        <v>401</v>
      </c>
      <c r="B652" s="1">
        <v>44802</v>
      </c>
      <c r="C652" s="27">
        <v>16132219</v>
      </c>
      <c r="D652" s="27" t="s">
        <v>7</v>
      </c>
      <c r="E652" s="27" t="s">
        <v>381</v>
      </c>
      <c r="F652" s="27" t="s">
        <v>28</v>
      </c>
      <c r="G652" s="27" t="s">
        <v>29</v>
      </c>
      <c r="H652" s="25">
        <v>44802.539618055554</v>
      </c>
    </row>
    <row r="653" spans="1:8" x14ac:dyDescent="0.25">
      <c r="A653">
        <v>400</v>
      </c>
      <c r="B653" s="1">
        <v>44802</v>
      </c>
      <c r="C653" s="27">
        <v>16122719</v>
      </c>
      <c r="D653" s="27" t="s">
        <v>11</v>
      </c>
      <c r="E653" s="27" t="s">
        <v>63</v>
      </c>
      <c r="F653" s="27" t="s">
        <v>28</v>
      </c>
      <c r="G653" s="27" t="s">
        <v>29</v>
      </c>
      <c r="H653" s="25">
        <v>44802.474027777775</v>
      </c>
    </row>
    <row r="654" spans="1:8" x14ac:dyDescent="0.25">
      <c r="A654">
        <v>213</v>
      </c>
      <c r="B654" s="1">
        <v>44802</v>
      </c>
      <c r="C654" s="27">
        <v>16125793</v>
      </c>
      <c r="D654" s="27" t="s">
        <v>14</v>
      </c>
      <c r="E654" s="27" t="s">
        <v>317</v>
      </c>
      <c r="F654" s="27" t="s">
        <v>28</v>
      </c>
      <c r="G654" s="27" t="s">
        <v>32</v>
      </c>
      <c r="H654" s="25">
        <v>44799.624849537038</v>
      </c>
    </row>
    <row r="655" spans="1:8" x14ac:dyDescent="0.25">
      <c r="A655">
        <v>212</v>
      </c>
      <c r="B655" s="1">
        <v>44802</v>
      </c>
      <c r="C655" s="27">
        <v>16126086</v>
      </c>
      <c r="D655" s="27" t="s">
        <v>12</v>
      </c>
      <c r="E655" s="27" t="s">
        <v>316</v>
      </c>
      <c r="F655" s="27" t="s">
        <v>10</v>
      </c>
      <c r="G655" s="27" t="s">
        <v>32</v>
      </c>
      <c r="H655" s="25">
        <v>44799.655057870368</v>
      </c>
    </row>
    <row r="656" spans="1:8" x14ac:dyDescent="0.25">
      <c r="A656">
        <v>211</v>
      </c>
      <c r="B656" s="1">
        <v>44802</v>
      </c>
      <c r="C656" s="27">
        <v>16126299</v>
      </c>
      <c r="D656" s="27" t="s">
        <v>12</v>
      </c>
      <c r="E656" s="27" t="s">
        <v>315</v>
      </c>
      <c r="F656" s="27" t="s">
        <v>31</v>
      </c>
      <c r="G656" s="27" t="s">
        <v>32</v>
      </c>
      <c r="H656" s="25">
        <v>44799.655358796299</v>
      </c>
    </row>
    <row r="657" spans="1:8" x14ac:dyDescent="0.25">
      <c r="A657">
        <v>214</v>
      </c>
      <c r="B657" s="1">
        <v>44802</v>
      </c>
      <c r="C657" s="27">
        <v>16125769</v>
      </c>
      <c r="D657" s="27" t="s">
        <v>14</v>
      </c>
      <c r="E657" s="27" t="s">
        <v>295</v>
      </c>
      <c r="F657" s="27" t="s">
        <v>31</v>
      </c>
      <c r="G657" s="27" t="s">
        <v>32</v>
      </c>
      <c r="H657" s="25">
        <v>44799.623483796298</v>
      </c>
    </row>
    <row r="658" spans="1:8" x14ac:dyDescent="0.25">
      <c r="A658">
        <v>217</v>
      </c>
      <c r="B658" s="1">
        <v>44802</v>
      </c>
      <c r="C658" s="27">
        <v>16125228</v>
      </c>
      <c r="D658" s="27" t="s">
        <v>11</v>
      </c>
      <c r="E658" s="27" t="s">
        <v>54</v>
      </c>
      <c r="F658" s="27" t="s">
        <v>10</v>
      </c>
      <c r="G658" s="27" t="s">
        <v>32</v>
      </c>
      <c r="H658" s="25">
        <v>44799.593333333331</v>
      </c>
    </row>
    <row r="659" spans="1:8" x14ac:dyDescent="0.25">
      <c r="A659">
        <v>216</v>
      </c>
      <c r="B659" s="1">
        <v>44802</v>
      </c>
      <c r="C659" s="27">
        <v>16125265</v>
      </c>
      <c r="D659" s="27" t="s">
        <v>15</v>
      </c>
      <c r="E659" s="27" t="s">
        <v>318</v>
      </c>
      <c r="F659" s="27" t="s">
        <v>28</v>
      </c>
      <c r="G659" s="27" t="s">
        <v>32</v>
      </c>
      <c r="H659" s="25">
        <v>44799.59646990741</v>
      </c>
    </row>
    <row r="660" spans="1:8" x14ac:dyDescent="0.25">
      <c r="A660">
        <v>215</v>
      </c>
      <c r="B660" s="1">
        <v>44802</v>
      </c>
      <c r="C660" s="27">
        <v>16125342</v>
      </c>
      <c r="D660" s="27" t="s">
        <v>14</v>
      </c>
      <c r="E660" s="27" t="s">
        <v>308</v>
      </c>
      <c r="F660" s="27" t="s">
        <v>31</v>
      </c>
      <c r="G660" s="27" t="s">
        <v>32</v>
      </c>
      <c r="H660" s="25">
        <v>44799.599490740744</v>
      </c>
    </row>
    <row r="661" spans="1:8" x14ac:dyDescent="0.25">
      <c r="A661">
        <v>206</v>
      </c>
      <c r="B661" s="1">
        <v>44802</v>
      </c>
      <c r="C661" s="27">
        <v>16132387</v>
      </c>
      <c r="D661" s="27" t="s">
        <v>7</v>
      </c>
      <c r="E661" s="27" t="s">
        <v>310</v>
      </c>
      <c r="F661" s="27" t="s">
        <v>28</v>
      </c>
      <c r="G661" s="27" t="s">
        <v>32</v>
      </c>
      <c r="H661" s="25">
        <v>44802.64435185185</v>
      </c>
    </row>
    <row r="662" spans="1:8" x14ac:dyDescent="0.25">
      <c r="A662">
        <v>159</v>
      </c>
      <c r="B662" s="1">
        <v>44802</v>
      </c>
      <c r="C662" s="27">
        <v>16122577</v>
      </c>
      <c r="D662" s="27" t="s">
        <v>11</v>
      </c>
      <c r="E662" s="27" t="s">
        <v>62</v>
      </c>
      <c r="F662" s="27" t="s">
        <v>10</v>
      </c>
      <c r="G662" s="27" t="s">
        <v>33</v>
      </c>
      <c r="H662" s="25">
        <v>44799.349305555559</v>
      </c>
    </row>
    <row r="663" spans="1:8" x14ac:dyDescent="0.25">
      <c r="A663">
        <v>158</v>
      </c>
      <c r="B663" s="1">
        <v>44802</v>
      </c>
      <c r="C663" s="27">
        <v>16125427</v>
      </c>
      <c r="D663" s="27" t="s">
        <v>14</v>
      </c>
      <c r="E663" s="27" t="s">
        <v>59</v>
      </c>
      <c r="F663" s="27" t="s">
        <v>18</v>
      </c>
      <c r="G663" s="27" t="s">
        <v>33</v>
      </c>
      <c r="H663" s="25">
        <v>44799.605983796297</v>
      </c>
    </row>
    <row r="664" spans="1:8" x14ac:dyDescent="0.25">
      <c r="A664">
        <v>157</v>
      </c>
      <c r="B664" s="1">
        <v>44802</v>
      </c>
      <c r="C664" s="27">
        <v>16125172</v>
      </c>
      <c r="D664" s="27" t="s">
        <v>12</v>
      </c>
      <c r="E664" s="27" t="s">
        <v>365</v>
      </c>
      <c r="F664" s="27" t="s">
        <v>18</v>
      </c>
      <c r="G664" s="27" t="s">
        <v>33</v>
      </c>
      <c r="H664" s="25">
        <v>44799.594710648147</v>
      </c>
    </row>
    <row r="665" spans="1:8" x14ac:dyDescent="0.25">
      <c r="A665">
        <v>160</v>
      </c>
      <c r="B665" s="1">
        <v>44802</v>
      </c>
      <c r="C665" s="27">
        <v>16124936</v>
      </c>
      <c r="D665" s="27" t="s">
        <v>14</v>
      </c>
      <c r="E665" s="27" t="s">
        <v>366</v>
      </c>
      <c r="F665" s="27" t="s">
        <v>10</v>
      </c>
      <c r="G665" s="27" t="s">
        <v>33</v>
      </c>
      <c r="H665" s="25">
        <v>44799.576828703706</v>
      </c>
    </row>
    <row r="666" spans="1:8" x14ac:dyDescent="0.25">
      <c r="A666">
        <v>163</v>
      </c>
      <c r="B666" s="1">
        <v>44802</v>
      </c>
      <c r="C666" s="27">
        <v>16133116</v>
      </c>
      <c r="D666" s="27" t="s">
        <v>15</v>
      </c>
      <c r="E666" s="27" t="s">
        <v>367</v>
      </c>
      <c r="F666" s="27" t="s">
        <v>10</v>
      </c>
      <c r="G666" s="27" t="s">
        <v>33</v>
      </c>
      <c r="H666" s="25">
        <v>44802.61105324074</v>
      </c>
    </row>
    <row r="667" spans="1:8" x14ac:dyDescent="0.25">
      <c r="A667">
        <v>162</v>
      </c>
      <c r="B667" s="1">
        <v>44802</v>
      </c>
      <c r="C667" s="27">
        <v>16125413</v>
      </c>
      <c r="D667" s="27" t="s">
        <v>14</v>
      </c>
      <c r="E667" s="27" t="s">
        <v>357</v>
      </c>
      <c r="F667" s="27" t="s">
        <v>10</v>
      </c>
      <c r="G667" s="27" t="s">
        <v>33</v>
      </c>
      <c r="H667" s="25">
        <v>44799.604641203703</v>
      </c>
    </row>
    <row r="668" spans="1:8" x14ac:dyDescent="0.25">
      <c r="A668">
        <v>161</v>
      </c>
      <c r="B668" s="1">
        <v>44802</v>
      </c>
      <c r="C668" s="27">
        <v>16125332</v>
      </c>
      <c r="D668" s="27" t="s">
        <v>14</v>
      </c>
      <c r="E668" s="27" t="s">
        <v>340</v>
      </c>
      <c r="F668" s="27" t="s">
        <v>10</v>
      </c>
      <c r="G668" s="27" t="s">
        <v>33</v>
      </c>
      <c r="H668" s="25">
        <v>44799.599895833337</v>
      </c>
    </row>
    <row r="669" spans="1:8" x14ac:dyDescent="0.25">
      <c r="A669">
        <v>218</v>
      </c>
      <c r="B669" s="1">
        <v>44802</v>
      </c>
      <c r="C669" s="27">
        <v>16124932</v>
      </c>
      <c r="D669" s="27" t="s">
        <v>11</v>
      </c>
      <c r="E669" s="27" t="s">
        <v>319</v>
      </c>
      <c r="F669" s="27" t="s">
        <v>10</v>
      </c>
      <c r="G669" s="27" t="s">
        <v>32</v>
      </c>
      <c r="H669" s="25">
        <v>44799.576064814813</v>
      </c>
    </row>
    <row r="670" spans="1:8" x14ac:dyDescent="0.25">
      <c r="A670">
        <v>375</v>
      </c>
      <c r="B670" s="1">
        <v>44802</v>
      </c>
      <c r="C670" s="27">
        <v>16124367</v>
      </c>
      <c r="D670" s="27" t="s">
        <v>7</v>
      </c>
      <c r="E670" s="27" t="s">
        <v>277</v>
      </c>
      <c r="F670" s="27"/>
      <c r="G670" s="27" t="s">
        <v>30</v>
      </c>
      <c r="H670" s="25">
        <v>44799.540937500002</v>
      </c>
    </row>
    <row r="671" spans="1:8" x14ac:dyDescent="0.25">
      <c r="A671">
        <v>374</v>
      </c>
      <c r="B671" s="1">
        <v>44802</v>
      </c>
      <c r="C671" s="27">
        <v>16098500</v>
      </c>
      <c r="D671" s="27" t="s">
        <v>7</v>
      </c>
      <c r="E671" s="27" t="s">
        <v>276</v>
      </c>
      <c r="F671" s="27" t="s">
        <v>10</v>
      </c>
      <c r="G671" s="27" t="s">
        <v>30</v>
      </c>
      <c r="H671" s="25">
        <v>44799.586678240739</v>
      </c>
    </row>
    <row r="672" spans="1:8" x14ac:dyDescent="0.25">
      <c r="A672">
        <v>373</v>
      </c>
      <c r="B672" s="1">
        <v>44802</v>
      </c>
      <c r="C672" s="27">
        <v>16124968</v>
      </c>
      <c r="D672" s="27" t="s">
        <v>7</v>
      </c>
      <c r="E672" s="27" t="s">
        <v>275</v>
      </c>
      <c r="F672" s="27" t="s">
        <v>28</v>
      </c>
      <c r="G672" s="27" t="s">
        <v>30</v>
      </c>
      <c r="H672" s="25">
        <v>44799.587187500001</v>
      </c>
    </row>
    <row r="673" spans="1:8" x14ac:dyDescent="0.25">
      <c r="A673">
        <v>376</v>
      </c>
      <c r="B673" s="1">
        <v>44802</v>
      </c>
      <c r="C673" s="27">
        <v>16126572</v>
      </c>
      <c r="D673" s="27" t="s">
        <v>7</v>
      </c>
      <c r="E673" s="27" t="s">
        <v>278</v>
      </c>
      <c r="F673" s="27" t="s">
        <v>17</v>
      </c>
      <c r="G673" s="27" t="s">
        <v>30</v>
      </c>
      <c r="H673" s="25">
        <v>44799.672592592593</v>
      </c>
    </row>
    <row r="674" spans="1:8" x14ac:dyDescent="0.25">
      <c r="A674">
        <v>379</v>
      </c>
      <c r="B674" s="1">
        <v>44802</v>
      </c>
      <c r="C674" s="27">
        <v>16124930</v>
      </c>
      <c r="D674" s="27" t="s">
        <v>12</v>
      </c>
      <c r="E674" s="27" t="s">
        <v>281</v>
      </c>
      <c r="F674" s="27" t="s">
        <v>10</v>
      </c>
      <c r="G674" s="27" t="s">
        <v>30</v>
      </c>
      <c r="H674" s="25">
        <v>44799.592997685184</v>
      </c>
    </row>
    <row r="675" spans="1:8" x14ac:dyDescent="0.25">
      <c r="A675">
        <v>378</v>
      </c>
      <c r="B675" s="1">
        <v>44802</v>
      </c>
      <c r="C675" s="27">
        <v>16124945</v>
      </c>
      <c r="D675" s="27" t="s">
        <v>12</v>
      </c>
      <c r="E675" s="27" t="s">
        <v>280</v>
      </c>
      <c r="F675" s="27" t="s">
        <v>17</v>
      </c>
      <c r="G675" s="27" t="s">
        <v>30</v>
      </c>
      <c r="H675" s="25">
        <v>44799.59337962963</v>
      </c>
    </row>
    <row r="676" spans="1:8" x14ac:dyDescent="0.25">
      <c r="A676">
        <v>377</v>
      </c>
      <c r="B676" s="1">
        <v>44802</v>
      </c>
      <c r="C676" s="27">
        <v>16124980</v>
      </c>
      <c r="D676" s="27" t="s">
        <v>12</v>
      </c>
      <c r="E676" s="27" t="s">
        <v>279</v>
      </c>
      <c r="F676" s="27" t="s">
        <v>10</v>
      </c>
      <c r="G676" s="27" t="s">
        <v>30</v>
      </c>
      <c r="H676" s="25">
        <v>44799.593680555554</v>
      </c>
    </row>
    <row r="677" spans="1:8" x14ac:dyDescent="0.25">
      <c r="A677">
        <v>372</v>
      </c>
      <c r="B677" s="1">
        <v>44802</v>
      </c>
      <c r="C677" s="27">
        <v>16125433</v>
      </c>
      <c r="D677" s="27" t="s">
        <v>15</v>
      </c>
      <c r="E677" s="27" t="s">
        <v>272</v>
      </c>
      <c r="F677" s="27" t="s">
        <v>10</v>
      </c>
      <c r="G677" s="27" t="s">
        <v>30</v>
      </c>
      <c r="H677" s="25">
        <v>44799.606215277781</v>
      </c>
    </row>
    <row r="678" spans="1:8" x14ac:dyDescent="0.25">
      <c r="A678">
        <v>221</v>
      </c>
      <c r="B678" s="1">
        <v>44802</v>
      </c>
      <c r="C678" s="27">
        <v>16124864</v>
      </c>
      <c r="D678" s="27" t="s">
        <v>11</v>
      </c>
      <c r="E678" s="27" t="s">
        <v>321</v>
      </c>
      <c r="F678" s="27" t="s">
        <v>28</v>
      </c>
      <c r="G678" s="27" t="s">
        <v>32</v>
      </c>
      <c r="H678" s="25">
        <v>44799.572418981479</v>
      </c>
    </row>
    <row r="679" spans="1:8" x14ac:dyDescent="0.25">
      <c r="A679">
        <v>220</v>
      </c>
      <c r="B679" s="1">
        <v>44802</v>
      </c>
      <c r="C679" s="27">
        <v>16124886</v>
      </c>
      <c r="D679" s="27" t="s">
        <v>11</v>
      </c>
      <c r="E679" s="27" t="s">
        <v>320</v>
      </c>
      <c r="F679" s="27" t="s">
        <v>10</v>
      </c>
      <c r="G679" s="27" t="s">
        <v>32</v>
      </c>
      <c r="H679" s="25">
        <v>44799.573831018519</v>
      </c>
    </row>
    <row r="680" spans="1:8" x14ac:dyDescent="0.25">
      <c r="A680">
        <v>219</v>
      </c>
      <c r="B680" s="1">
        <v>44802</v>
      </c>
      <c r="C680" s="27">
        <v>16124903</v>
      </c>
      <c r="D680" s="27" t="s">
        <v>11</v>
      </c>
      <c r="E680" s="27" t="s">
        <v>311</v>
      </c>
      <c r="F680" s="27" t="s">
        <v>28</v>
      </c>
      <c r="G680" s="27" t="s">
        <v>32</v>
      </c>
      <c r="H680" s="25">
        <v>44799.574895833335</v>
      </c>
    </row>
    <row r="681" spans="1:8" x14ac:dyDescent="0.25">
      <c r="A681">
        <v>222</v>
      </c>
      <c r="B681" s="1">
        <v>44802</v>
      </c>
      <c r="C681" s="27">
        <v>16123890</v>
      </c>
      <c r="D681" s="27" t="s">
        <v>12</v>
      </c>
      <c r="E681" s="27" t="s">
        <v>322</v>
      </c>
      <c r="F681" s="27" t="s">
        <v>28</v>
      </c>
      <c r="G681" s="27" t="s">
        <v>32</v>
      </c>
      <c r="H681" s="25">
        <v>44799.558483796296</v>
      </c>
    </row>
    <row r="682" spans="1:8" x14ac:dyDescent="0.25">
      <c r="A682">
        <v>225</v>
      </c>
      <c r="B682" s="1">
        <v>44802</v>
      </c>
      <c r="C682" s="27">
        <v>16124334</v>
      </c>
      <c r="D682" s="27" t="s">
        <v>7</v>
      </c>
      <c r="E682" s="27" t="s">
        <v>325</v>
      </c>
      <c r="F682" s="27" t="s">
        <v>28</v>
      </c>
      <c r="G682" s="27" t="s">
        <v>32</v>
      </c>
      <c r="H682" s="25">
        <v>44799.530601851853</v>
      </c>
    </row>
    <row r="683" spans="1:8" x14ac:dyDescent="0.25">
      <c r="A683">
        <v>224</v>
      </c>
      <c r="B683" s="1">
        <v>44802</v>
      </c>
      <c r="C683" s="27">
        <v>16123967</v>
      </c>
      <c r="D683" s="27" t="s">
        <v>7</v>
      </c>
      <c r="E683" s="27" t="s">
        <v>324</v>
      </c>
      <c r="F683" s="27" t="s">
        <v>28</v>
      </c>
      <c r="G683" s="27" t="s">
        <v>32</v>
      </c>
      <c r="H683" s="25">
        <v>44799.531099537038</v>
      </c>
    </row>
    <row r="684" spans="1:8" x14ac:dyDescent="0.25">
      <c r="A684">
        <v>223</v>
      </c>
      <c r="B684" s="1">
        <v>44802</v>
      </c>
      <c r="C684" s="27">
        <v>16124351</v>
      </c>
      <c r="D684" s="27" t="s">
        <v>7</v>
      </c>
      <c r="E684" s="27" t="s">
        <v>323</v>
      </c>
      <c r="F684" s="27" t="s">
        <v>28</v>
      </c>
      <c r="G684" s="27" t="s">
        <v>32</v>
      </c>
      <c r="H684" s="25">
        <v>44799.539548611108</v>
      </c>
    </row>
    <row r="685" spans="1:8" x14ac:dyDescent="0.25">
      <c r="A685">
        <v>598</v>
      </c>
      <c r="B685" s="1">
        <v>44802</v>
      </c>
      <c r="C685" s="27">
        <v>16125550</v>
      </c>
      <c r="D685" s="27" t="s">
        <v>23</v>
      </c>
      <c r="E685" s="27" t="s">
        <v>111</v>
      </c>
      <c r="F685" s="27" t="s">
        <v>10</v>
      </c>
      <c r="G685" s="27" t="s">
        <v>20</v>
      </c>
      <c r="H685" s="25">
        <v>44799.612962962965</v>
      </c>
    </row>
    <row r="686" spans="1:8" x14ac:dyDescent="0.25">
      <c r="A686">
        <v>597</v>
      </c>
      <c r="B686" s="1">
        <v>44802</v>
      </c>
      <c r="C686" s="27">
        <v>16125534</v>
      </c>
      <c r="D686" s="27" t="s">
        <v>23</v>
      </c>
      <c r="E686" s="27" t="s">
        <v>110</v>
      </c>
      <c r="F686" s="27" t="s">
        <v>10</v>
      </c>
      <c r="G686" s="27" t="s">
        <v>20</v>
      </c>
      <c r="H686" s="25">
        <v>44799.611770833333</v>
      </c>
    </row>
    <row r="687" spans="1:8" x14ac:dyDescent="0.25">
      <c r="A687">
        <v>596</v>
      </c>
      <c r="B687" s="1">
        <v>44802</v>
      </c>
      <c r="C687" s="27">
        <v>16125529</v>
      </c>
      <c r="D687" s="27" t="s">
        <v>19</v>
      </c>
      <c r="E687" s="27" t="s">
        <v>109</v>
      </c>
      <c r="F687" s="27" t="s">
        <v>18</v>
      </c>
      <c r="G687" s="27" t="s">
        <v>20</v>
      </c>
      <c r="H687" s="25">
        <v>44799.612060185187</v>
      </c>
    </row>
    <row r="688" spans="1:8" x14ac:dyDescent="0.25">
      <c r="A688">
        <v>599</v>
      </c>
      <c r="B688" s="1">
        <v>44802</v>
      </c>
      <c r="C688" s="27">
        <v>16125577</v>
      </c>
      <c r="D688" s="27" t="s">
        <v>23</v>
      </c>
      <c r="E688" s="27" t="s">
        <v>112</v>
      </c>
      <c r="F688" s="27" t="s">
        <v>18</v>
      </c>
      <c r="G688" s="27" t="s">
        <v>20</v>
      </c>
      <c r="H688" s="25">
        <v>44799.614398148151</v>
      </c>
    </row>
    <row r="689" spans="1:8" x14ac:dyDescent="0.25">
      <c r="A689">
        <v>602</v>
      </c>
      <c r="B689" s="1">
        <v>44802</v>
      </c>
      <c r="C689" s="27">
        <v>16125747</v>
      </c>
      <c r="D689" s="27" t="s">
        <v>23</v>
      </c>
      <c r="E689" s="27" t="s">
        <v>76</v>
      </c>
      <c r="F689" s="27" t="s">
        <v>10</v>
      </c>
      <c r="G689" s="27" t="s">
        <v>20</v>
      </c>
      <c r="H689" s="25">
        <v>44799.622824074075</v>
      </c>
    </row>
    <row r="690" spans="1:8" x14ac:dyDescent="0.25">
      <c r="A690">
        <v>601</v>
      </c>
      <c r="B690" s="1">
        <v>44802</v>
      </c>
      <c r="C690" s="27">
        <v>16125715</v>
      </c>
      <c r="D690" s="27" t="s">
        <v>19</v>
      </c>
      <c r="E690" s="27" t="s">
        <v>114</v>
      </c>
      <c r="F690" s="27" t="s">
        <v>10</v>
      </c>
      <c r="G690" s="27" t="s">
        <v>20</v>
      </c>
      <c r="H690" s="25">
        <v>44799.622210648151</v>
      </c>
    </row>
    <row r="691" spans="1:8" x14ac:dyDescent="0.25">
      <c r="A691">
        <v>600</v>
      </c>
      <c r="B691" s="1">
        <v>44802</v>
      </c>
      <c r="C691" s="27">
        <v>16125579</v>
      </c>
      <c r="D691" s="27" t="s">
        <v>19</v>
      </c>
      <c r="E691" s="27" t="s">
        <v>113</v>
      </c>
      <c r="F691" s="27" t="s">
        <v>10</v>
      </c>
      <c r="G691" s="27" t="s">
        <v>20</v>
      </c>
      <c r="H691" s="25">
        <v>44799.615428240744</v>
      </c>
    </row>
    <row r="692" spans="1:8" x14ac:dyDescent="0.25">
      <c r="A692">
        <v>595</v>
      </c>
      <c r="B692" s="1">
        <v>44802</v>
      </c>
      <c r="C692" s="27">
        <v>16125506</v>
      </c>
      <c r="D692" s="27" t="s">
        <v>23</v>
      </c>
      <c r="E692" s="27" t="s">
        <v>108</v>
      </c>
      <c r="F692" s="27" t="s">
        <v>10</v>
      </c>
      <c r="G692" s="27" t="s">
        <v>20</v>
      </c>
      <c r="H692" s="25">
        <v>44799.61005787037</v>
      </c>
    </row>
    <row r="693" spans="1:8" x14ac:dyDescent="0.25">
      <c r="A693">
        <v>585</v>
      </c>
      <c r="B693" s="1">
        <v>44802</v>
      </c>
      <c r="C693" s="27">
        <v>16125245</v>
      </c>
      <c r="D693" s="27" t="s">
        <v>23</v>
      </c>
      <c r="E693" s="27" t="s">
        <v>100</v>
      </c>
      <c r="F693" s="27" t="s">
        <v>10</v>
      </c>
      <c r="G693" s="27" t="s">
        <v>20</v>
      </c>
      <c r="H693" s="25">
        <v>44799.595138888886</v>
      </c>
    </row>
    <row r="694" spans="1:8" x14ac:dyDescent="0.25">
      <c r="A694">
        <v>584</v>
      </c>
      <c r="B694" s="1">
        <v>44802</v>
      </c>
      <c r="C694" s="27">
        <v>16125220</v>
      </c>
      <c r="D694" s="27" t="s">
        <v>22</v>
      </c>
      <c r="E694" s="27" t="s">
        <v>99</v>
      </c>
      <c r="F694" s="27" t="s">
        <v>10</v>
      </c>
      <c r="G694" s="27" t="s">
        <v>20</v>
      </c>
      <c r="H694" s="25">
        <v>44799.61310185185</v>
      </c>
    </row>
    <row r="695" spans="1:8" x14ac:dyDescent="0.25">
      <c r="A695">
        <v>583</v>
      </c>
      <c r="B695" s="1">
        <v>44802</v>
      </c>
      <c r="C695" s="27">
        <v>16125189</v>
      </c>
      <c r="D695" s="27" t="s">
        <v>23</v>
      </c>
      <c r="E695" s="27" t="s">
        <v>98</v>
      </c>
      <c r="F695" s="27" t="s">
        <v>10</v>
      </c>
      <c r="G695" s="27" t="s">
        <v>20</v>
      </c>
      <c r="H695" s="25">
        <v>44799.591990740744</v>
      </c>
    </row>
    <row r="696" spans="1:8" x14ac:dyDescent="0.25">
      <c r="A696">
        <v>586</v>
      </c>
      <c r="B696" s="1">
        <v>44802</v>
      </c>
      <c r="C696" s="27">
        <v>16125251</v>
      </c>
      <c r="D696" s="27" t="s">
        <v>22</v>
      </c>
      <c r="E696" s="27" t="s">
        <v>101</v>
      </c>
      <c r="F696" s="27" t="s">
        <v>10</v>
      </c>
      <c r="G696" s="27" t="s">
        <v>20</v>
      </c>
      <c r="H696" s="25">
        <v>44799.613634259258</v>
      </c>
    </row>
    <row r="697" spans="1:8" x14ac:dyDescent="0.25">
      <c r="A697">
        <v>593</v>
      </c>
      <c r="B697" s="1">
        <v>44802</v>
      </c>
      <c r="C697" s="27">
        <v>16125363</v>
      </c>
      <c r="D697" s="27" t="s">
        <v>23</v>
      </c>
      <c r="E697" s="27" t="s">
        <v>50</v>
      </c>
      <c r="F697" s="27" t="s">
        <v>10</v>
      </c>
      <c r="G697" s="27" t="s">
        <v>20</v>
      </c>
      <c r="H697" s="25">
        <v>44799.602037037039</v>
      </c>
    </row>
    <row r="698" spans="1:8" x14ac:dyDescent="0.25">
      <c r="A698">
        <v>590</v>
      </c>
      <c r="B698" s="1">
        <v>44802</v>
      </c>
      <c r="C698" s="27">
        <v>16125309</v>
      </c>
      <c r="D698" s="27" t="s">
        <v>23</v>
      </c>
      <c r="E698" s="27" t="s">
        <v>51</v>
      </c>
      <c r="F698" s="27" t="s">
        <v>10</v>
      </c>
      <c r="G698" s="27" t="s">
        <v>20</v>
      </c>
      <c r="H698" s="25">
        <v>44799.598900462966</v>
      </c>
    </row>
    <row r="699" spans="1:8" x14ac:dyDescent="0.25">
      <c r="A699">
        <v>588</v>
      </c>
      <c r="B699" s="1">
        <v>44802</v>
      </c>
      <c r="C699" s="27">
        <v>16125291</v>
      </c>
      <c r="D699" s="27" t="s">
        <v>22</v>
      </c>
      <c r="E699" s="27" t="s">
        <v>103</v>
      </c>
      <c r="F699" s="27" t="s">
        <v>17</v>
      </c>
      <c r="G699" s="27" t="s">
        <v>20</v>
      </c>
      <c r="H699" s="25">
        <v>44799.598182870373</v>
      </c>
    </row>
    <row r="700" spans="1:8" x14ac:dyDescent="0.25">
      <c r="A700">
        <v>603</v>
      </c>
      <c r="B700" s="1">
        <v>44802</v>
      </c>
      <c r="C700" s="27">
        <v>16125776</v>
      </c>
      <c r="D700" s="27" t="s">
        <v>23</v>
      </c>
      <c r="E700" s="27" t="s">
        <v>115</v>
      </c>
      <c r="F700" s="27" t="s">
        <v>17</v>
      </c>
      <c r="G700" s="27" t="s">
        <v>20</v>
      </c>
      <c r="H700" s="25">
        <v>44799.624456018515</v>
      </c>
    </row>
    <row r="701" spans="1:8" x14ac:dyDescent="0.25">
      <c r="A701">
        <v>619</v>
      </c>
      <c r="B701" s="1">
        <v>44802</v>
      </c>
      <c r="C701" s="27">
        <v>16130833</v>
      </c>
      <c r="D701" s="27" t="s">
        <v>26</v>
      </c>
      <c r="E701" s="27" t="s">
        <v>130</v>
      </c>
      <c r="F701" s="27" t="s">
        <v>17</v>
      </c>
      <c r="G701" s="27" t="s">
        <v>20</v>
      </c>
      <c r="H701" s="25">
        <v>44802.389178240737</v>
      </c>
    </row>
    <row r="702" spans="1:8" x14ac:dyDescent="0.25">
      <c r="A702">
        <v>618</v>
      </c>
      <c r="B702" s="1">
        <v>44802</v>
      </c>
      <c r="C702" s="27">
        <v>16130818</v>
      </c>
      <c r="D702" s="27" t="s">
        <v>26</v>
      </c>
      <c r="E702" s="27" t="s">
        <v>129</v>
      </c>
      <c r="F702" s="27" t="s">
        <v>17</v>
      </c>
      <c r="G702" s="27" t="s">
        <v>20</v>
      </c>
      <c r="H702" s="25">
        <v>44802.389675925922</v>
      </c>
    </row>
    <row r="703" spans="1:8" x14ac:dyDescent="0.25">
      <c r="A703">
        <v>617</v>
      </c>
      <c r="B703" s="1">
        <v>44802</v>
      </c>
      <c r="C703" s="27">
        <v>16130709</v>
      </c>
      <c r="D703" s="27" t="s">
        <v>23</v>
      </c>
      <c r="E703" s="27" t="s">
        <v>128</v>
      </c>
      <c r="F703" s="27" t="s">
        <v>10</v>
      </c>
      <c r="G703" s="27" t="s">
        <v>20</v>
      </c>
      <c r="H703" s="25">
        <v>44802.373101851852</v>
      </c>
    </row>
    <row r="704" spans="1:8" x14ac:dyDescent="0.25">
      <c r="A704">
        <v>620</v>
      </c>
      <c r="B704" s="1">
        <v>44802</v>
      </c>
      <c r="C704" s="27">
        <v>16130858</v>
      </c>
      <c r="D704" s="27" t="s">
        <v>26</v>
      </c>
      <c r="E704" s="27" t="s">
        <v>131</v>
      </c>
      <c r="F704" s="27" t="s">
        <v>17</v>
      </c>
      <c r="G704" s="27" t="s">
        <v>20</v>
      </c>
      <c r="H704" s="25">
        <v>44802.388715277775</v>
      </c>
    </row>
    <row r="705" spans="1:8" x14ac:dyDescent="0.25">
      <c r="A705">
        <v>649</v>
      </c>
      <c r="B705" s="1">
        <v>44802</v>
      </c>
      <c r="C705" s="27">
        <v>16134007</v>
      </c>
      <c r="D705" s="27" t="s">
        <v>23</v>
      </c>
      <c r="E705" s="27" t="s">
        <v>156</v>
      </c>
      <c r="F705" s="27" t="s">
        <v>17</v>
      </c>
      <c r="G705" s="27" t="s">
        <v>20</v>
      </c>
      <c r="H705" s="25">
        <v>44802.69935185185</v>
      </c>
    </row>
    <row r="706" spans="1:8" x14ac:dyDescent="0.25">
      <c r="A706">
        <v>648</v>
      </c>
      <c r="B706" s="1">
        <v>44802</v>
      </c>
      <c r="C706" s="27">
        <v>16133940</v>
      </c>
      <c r="D706" s="27" t="s">
        <v>22</v>
      </c>
      <c r="E706" s="27" t="s">
        <v>155</v>
      </c>
      <c r="F706" s="27" t="s">
        <v>17</v>
      </c>
      <c r="G706" s="27" t="s">
        <v>20</v>
      </c>
      <c r="H706" s="25">
        <v>44802.688726851855</v>
      </c>
    </row>
    <row r="707" spans="1:8" x14ac:dyDescent="0.25">
      <c r="A707">
        <v>621</v>
      </c>
      <c r="B707" s="1">
        <v>44802</v>
      </c>
      <c r="C707" s="27">
        <v>16131635</v>
      </c>
      <c r="D707" s="27" t="s">
        <v>23</v>
      </c>
      <c r="E707" s="27" t="s">
        <v>132</v>
      </c>
      <c r="F707" s="27" t="s">
        <v>10</v>
      </c>
      <c r="G707" s="27" t="s">
        <v>20</v>
      </c>
      <c r="H707" s="25">
        <v>44802.449907407405</v>
      </c>
    </row>
    <row r="708" spans="1:8" x14ac:dyDescent="0.25">
      <c r="A708">
        <v>616</v>
      </c>
      <c r="B708" s="1">
        <v>44802</v>
      </c>
      <c r="C708" s="27">
        <v>16130687</v>
      </c>
      <c r="D708" s="27" t="s">
        <v>25</v>
      </c>
      <c r="E708" s="27" t="s">
        <v>127</v>
      </c>
      <c r="F708" s="27" t="s">
        <v>10</v>
      </c>
      <c r="G708" s="27" t="s">
        <v>20</v>
      </c>
      <c r="H708" s="25">
        <v>44802.372083333335</v>
      </c>
    </row>
    <row r="709" spans="1:8" x14ac:dyDescent="0.25">
      <c r="A709">
        <v>607</v>
      </c>
      <c r="B709" s="1">
        <v>44802</v>
      </c>
      <c r="C709" s="27">
        <v>16125884</v>
      </c>
      <c r="D709" s="27" t="s">
        <v>23</v>
      </c>
      <c r="E709" s="27" t="s">
        <v>119</v>
      </c>
      <c r="F709" s="27" t="s">
        <v>10</v>
      </c>
      <c r="G709" s="27" t="s">
        <v>20</v>
      </c>
      <c r="H709" s="25">
        <v>44799.631840277776</v>
      </c>
    </row>
    <row r="710" spans="1:8" x14ac:dyDescent="0.25">
      <c r="A710">
        <v>606</v>
      </c>
      <c r="B710" s="1">
        <v>44802</v>
      </c>
      <c r="C710" s="27">
        <v>16125855</v>
      </c>
      <c r="D710" s="27" t="s">
        <v>23</v>
      </c>
      <c r="E710" s="27" t="s">
        <v>118</v>
      </c>
      <c r="F710" s="27" t="s">
        <v>10</v>
      </c>
      <c r="G710" s="27" t="s">
        <v>20</v>
      </c>
      <c r="H710" s="25">
        <v>44799.629606481481</v>
      </c>
    </row>
    <row r="711" spans="1:8" x14ac:dyDescent="0.25">
      <c r="A711">
        <v>604</v>
      </c>
      <c r="B711" s="1">
        <v>44802</v>
      </c>
      <c r="C711" s="27">
        <v>16125777</v>
      </c>
      <c r="D711" s="27" t="s">
        <v>19</v>
      </c>
      <c r="E711" s="27" t="s">
        <v>116</v>
      </c>
      <c r="F711" s="27" t="s">
        <v>10</v>
      </c>
      <c r="G711" s="27" t="s">
        <v>20</v>
      </c>
      <c r="H711" s="25">
        <v>44799.625092592592</v>
      </c>
    </row>
    <row r="712" spans="1:8" x14ac:dyDescent="0.25">
      <c r="A712">
        <v>608</v>
      </c>
      <c r="B712" s="1">
        <v>44802</v>
      </c>
      <c r="C712" s="27">
        <v>16125902</v>
      </c>
      <c r="D712" s="27" t="s">
        <v>27</v>
      </c>
      <c r="E712" s="27" t="s">
        <v>69</v>
      </c>
      <c r="F712" s="27"/>
      <c r="G712" s="27" t="s">
        <v>20</v>
      </c>
      <c r="H712" s="25">
        <v>44799.633206018516</v>
      </c>
    </row>
    <row r="713" spans="1:8" x14ac:dyDescent="0.25">
      <c r="A713">
        <v>615</v>
      </c>
      <c r="B713" s="1">
        <v>44802</v>
      </c>
      <c r="C713" s="27">
        <v>16126119</v>
      </c>
      <c r="D713" s="27" t="s">
        <v>22</v>
      </c>
      <c r="E713" s="27" t="s">
        <v>126</v>
      </c>
      <c r="F713" s="27" t="s">
        <v>10</v>
      </c>
      <c r="G713" s="27" t="s">
        <v>20</v>
      </c>
      <c r="H713" s="25">
        <v>44799.647245370368</v>
      </c>
    </row>
    <row r="714" spans="1:8" x14ac:dyDescent="0.25">
      <c r="A714">
        <v>614</v>
      </c>
      <c r="B714" s="1">
        <v>44802</v>
      </c>
      <c r="C714" s="27">
        <v>16126070</v>
      </c>
      <c r="D714" s="27" t="s">
        <v>22</v>
      </c>
      <c r="E714" s="27" t="s">
        <v>125</v>
      </c>
      <c r="F714" s="27" t="s">
        <v>10</v>
      </c>
      <c r="G714" s="27" t="s">
        <v>20</v>
      </c>
      <c r="H714" s="25">
        <v>44799.645856481482</v>
      </c>
    </row>
    <row r="715" spans="1:8" x14ac:dyDescent="0.25">
      <c r="A715">
        <v>613</v>
      </c>
      <c r="B715" s="1">
        <v>44802</v>
      </c>
      <c r="C715" s="27">
        <v>16125938</v>
      </c>
      <c r="D715" s="27" t="s">
        <v>23</v>
      </c>
      <c r="E715" s="27" t="s">
        <v>124</v>
      </c>
      <c r="F715" s="27" t="s">
        <v>10</v>
      </c>
      <c r="G715" s="27" t="s">
        <v>20</v>
      </c>
      <c r="H715" s="25">
        <v>44799.635011574072</v>
      </c>
    </row>
    <row r="716" spans="1:8" x14ac:dyDescent="0.25">
      <c r="A716">
        <v>582</v>
      </c>
      <c r="B716" s="1">
        <v>44802</v>
      </c>
      <c r="C716" s="27">
        <v>16125180</v>
      </c>
      <c r="D716" s="27" t="s">
        <v>22</v>
      </c>
      <c r="E716" s="27" t="s">
        <v>97</v>
      </c>
      <c r="F716" s="27" t="s">
        <v>17</v>
      </c>
      <c r="G716" s="27" t="s">
        <v>20</v>
      </c>
      <c r="H716" s="25">
        <v>44799.612662037034</v>
      </c>
    </row>
    <row r="717" spans="1:8" x14ac:dyDescent="0.25">
      <c r="A717">
        <v>561</v>
      </c>
      <c r="B717" s="1">
        <v>44802</v>
      </c>
      <c r="C717" s="27">
        <v>16123920</v>
      </c>
      <c r="D717" s="27" t="s">
        <v>25</v>
      </c>
      <c r="E717" s="27" t="s">
        <v>77</v>
      </c>
      <c r="F717" s="27" t="s">
        <v>10</v>
      </c>
      <c r="G717" s="27" t="s">
        <v>20</v>
      </c>
      <c r="H717" s="25">
        <v>44799.557662037034</v>
      </c>
    </row>
    <row r="718" spans="1:8" x14ac:dyDescent="0.25">
      <c r="A718">
        <v>558</v>
      </c>
      <c r="B718" s="1">
        <v>44802</v>
      </c>
      <c r="C718" s="27">
        <v>16098741</v>
      </c>
      <c r="D718" s="27" t="s">
        <v>19</v>
      </c>
      <c r="E718" s="27" t="s">
        <v>74</v>
      </c>
      <c r="F718" s="27" t="s">
        <v>10</v>
      </c>
      <c r="G718" s="27" t="s">
        <v>20</v>
      </c>
      <c r="H718" s="25">
        <v>44799.585821759261</v>
      </c>
    </row>
    <row r="719" spans="1:8" x14ac:dyDescent="0.25">
      <c r="A719">
        <v>557</v>
      </c>
      <c r="B719" s="1">
        <v>44802</v>
      </c>
      <c r="C719" s="27">
        <v>16088118</v>
      </c>
      <c r="D719" s="27" t="s">
        <v>19</v>
      </c>
      <c r="E719" s="27" t="s">
        <v>73</v>
      </c>
      <c r="F719" s="27" t="s">
        <v>10</v>
      </c>
      <c r="G719" s="27" t="s">
        <v>20</v>
      </c>
      <c r="H719" s="25">
        <v>44799.586192129631</v>
      </c>
    </row>
    <row r="720" spans="1:8" x14ac:dyDescent="0.25">
      <c r="A720">
        <v>562</v>
      </c>
      <c r="B720" s="1">
        <v>44802</v>
      </c>
      <c r="C720" s="27">
        <v>16123930</v>
      </c>
      <c r="D720" s="27" t="s">
        <v>25</v>
      </c>
      <c r="E720" s="27" t="s">
        <v>78</v>
      </c>
      <c r="F720" s="27" t="s">
        <v>10</v>
      </c>
      <c r="G720" s="27" t="s">
        <v>20</v>
      </c>
      <c r="H720" s="25">
        <v>44799.557280092595</v>
      </c>
    </row>
    <row r="721" spans="1:8" x14ac:dyDescent="0.25">
      <c r="A721">
        <v>565</v>
      </c>
      <c r="B721" s="1">
        <v>44802</v>
      </c>
      <c r="C721" s="27">
        <v>16124321</v>
      </c>
      <c r="D721" s="27" t="s">
        <v>22</v>
      </c>
      <c r="E721" s="27" t="s">
        <v>81</v>
      </c>
      <c r="F721" s="27" t="s">
        <v>10</v>
      </c>
      <c r="G721" s="27" t="s">
        <v>20</v>
      </c>
      <c r="H721" s="25">
        <v>44799.515902777777</v>
      </c>
    </row>
    <row r="722" spans="1:8" x14ac:dyDescent="0.25">
      <c r="A722">
        <v>564</v>
      </c>
      <c r="B722" s="1">
        <v>44802</v>
      </c>
      <c r="C722" s="27">
        <v>16124314</v>
      </c>
      <c r="D722" s="27" t="s">
        <v>22</v>
      </c>
      <c r="E722" s="27" t="s">
        <v>80</v>
      </c>
      <c r="F722" s="27" t="s">
        <v>10</v>
      </c>
      <c r="G722" s="27" t="s">
        <v>20</v>
      </c>
      <c r="H722" s="25">
        <v>44799.514606481483</v>
      </c>
    </row>
    <row r="723" spans="1:8" x14ac:dyDescent="0.25">
      <c r="A723">
        <v>563</v>
      </c>
      <c r="B723" s="1">
        <v>44802</v>
      </c>
      <c r="C723" s="27">
        <v>16124302</v>
      </c>
      <c r="D723" s="27" t="s">
        <v>22</v>
      </c>
      <c r="E723" s="27" t="s">
        <v>79</v>
      </c>
      <c r="F723" s="27" t="s">
        <v>10</v>
      </c>
      <c r="G723" s="27" t="s">
        <v>20</v>
      </c>
      <c r="H723" s="25">
        <v>44799.512662037036</v>
      </c>
    </row>
    <row r="724" spans="1:8" x14ac:dyDescent="0.25">
      <c r="A724">
        <v>556</v>
      </c>
      <c r="B724" s="1">
        <v>44802</v>
      </c>
      <c r="C724" s="27">
        <v>16130540</v>
      </c>
      <c r="D724" s="27" t="s">
        <v>22</v>
      </c>
      <c r="E724" s="27" t="s">
        <v>72</v>
      </c>
      <c r="F724" s="27" t="s">
        <v>17</v>
      </c>
      <c r="G724" s="27" t="s">
        <v>20</v>
      </c>
      <c r="H724" s="25">
        <v>44799.609386574077</v>
      </c>
    </row>
    <row r="725" spans="1:8" x14ac:dyDescent="0.25">
      <c r="A725">
        <v>413</v>
      </c>
      <c r="B725" s="1">
        <v>44802</v>
      </c>
      <c r="C725" s="27">
        <v>16125391</v>
      </c>
      <c r="D725" s="27" t="s">
        <v>15</v>
      </c>
      <c r="E725" s="27" t="s">
        <v>387</v>
      </c>
      <c r="F725" s="27" t="s">
        <v>28</v>
      </c>
      <c r="G725" s="27" t="s">
        <v>29</v>
      </c>
      <c r="H725" s="25">
        <v>44799.60359953704</v>
      </c>
    </row>
    <row r="726" spans="1:8" x14ac:dyDescent="0.25">
      <c r="A726">
        <v>412</v>
      </c>
      <c r="B726" s="1">
        <v>44802</v>
      </c>
      <c r="C726" s="27">
        <v>16125743</v>
      </c>
      <c r="D726" s="27" t="s">
        <v>11</v>
      </c>
      <c r="E726" s="27" t="s">
        <v>386</v>
      </c>
      <c r="F726" s="27" t="s">
        <v>24</v>
      </c>
      <c r="G726" s="27" t="s">
        <v>29</v>
      </c>
      <c r="H726" s="25">
        <v>44799.623217592591</v>
      </c>
    </row>
    <row r="727" spans="1:8" x14ac:dyDescent="0.25">
      <c r="A727">
        <v>411</v>
      </c>
      <c r="B727" s="1">
        <v>44802</v>
      </c>
      <c r="C727" s="27">
        <v>16125201</v>
      </c>
      <c r="D727" s="27" t="s">
        <v>14</v>
      </c>
      <c r="E727" s="27" t="s">
        <v>385</v>
      </c>
      <c r="F727" s="27" t="s">
        <v>28</v>
      </c>
      <c r="G727" s="27" t="s">
        <v>29</v>
      </c>
      <c r="H727" s="25">
        <v>44799.614710648151</v>
      </c>
    </row>
    <row r="728" spans="1:8" x14ac:dyDescent="0.25">
      <c r="A728">
        <v>414</v>
      </c>
      <c r="B728" s="1">
        <v>44802</v>
      </c>
      <c r="C728" s="27">
        <v>16125409</v>
      </c>
      <c r="D728" s="27" t="s">
        <v>11</v>
      </c>
      <c r="E728" s="27" t="s">
        <v>388</v>
      </c>
      <c r="F728" s="27" t="s">
        <v>24</v>
      </c>
      <c r="G728" s="27" t="s">
        <v>29</v>
      </c>
      <c r="H728" s="25">
        <v>44799.604780092595</v>
      </c>
    </row>
    <row r="729" spans="1:8" x14ac:dyDescent="0.25">
      <c r="A729">
        <v>555</v>
      </c>
      <c r="B729" s="1">
        <v>44802</v>
      </c>
      <c r="C729" s="27">
        <v>16125320</v>
      </c>
      <c r="D729" s="27" t="s">
        <v>23</v>
      </c>
      <c r="E729" s="27" t="s">
        <v>71</v>
      </c>
      <c r="F729" s="27" t="s">
        <v>10</v>
      </c>
      <c r="G729" s="27" t="s">
        <v>20</v>
      </c>
      <c r="H729" s="25">
        <v>44799.585405092592</v>
      </c>
    </row>
    <row r="730" spans="1:8" x14ac:dyDescent="0.25">
      <c r="A730">
        <v>554</v>
      </c>
      <c r="B730" s="1">
        <v>44802</v>
      </c>
      <c r="C730" s="27">
        <v>16125320</v>
      </c>
      <c r="D730" s="27" t="s">
        <v>23</v>
      </c>
      <c r="E730" s="27" t="s">
        <v>71</v>
      </c>
      <c r="F730" s="27" t="s">
        <v>10</v>
      </c>
      <c r="G730" s="27" t="s">
        <v>20</v>
      </c>
      <c r="H730" s="25">
        <v>44799.584583333337</v>
      </c>
    </row>
    <row r="731" spans="1:8" x14ac:dyDescent="0.25">
      <c r="A731">
        <v>415</v>
      </c>
      <c r="B731" s="1">
        <v>44802</v>
      </c>
      <c r="C731" s="27">
        <v>16125412</v>
      </c>
      <c r="D731" s="27" t="s">
        <v>15</v>
      </c>
      <c r="E731" s="27" t="s">
        <v>389</v>
      </c>
      <c r="F731" s="27" t="s">
        <v>28</v>
      </c>
      <c r="G731" s="27" t="s">
        <v>29</v>
      </c>
      <c r="H731" s="25">
        <v>44799.604907407411</v>
      </c>
    </row>
    <row r="732" spans="1:8" x14ac:dyDescent="0.25">
      <c r="A732">
        <v>566</v>
      </c>
      <c r="B732" s="1">
        <v>44802</v>
      </c>
      <c r="C732" s="27">
        <v>16124560</v>
      </c>
      <c r="D732" s="27" t="s">
        <v>19</v>
      </c>
      <c r="E732" s="27" t="s">
        <v>82</v>
      </c>
      <c r="F732" s="27" t="s">
        <v>18</v>
      </c>
      <c r="G732" s="27" t="s">
        <v>20</v>
      </c>
      <c r="H732" s="25">
        <v>44799.556041666663</v>
      </c>
    </row>
    <row r="733" spans="1:8" x14ac:dyDescent="0.25">
      <c r="A733">
        <v>577</v>
      </c>
      <c r="B733" s="1">
        <v>44802</v>
      </c>
      <c r="C733" s="27">
        <v>16125037</v>
      </c>
      <c r="D733" s="27" t="s">
        <v>22</v>
      </c>
      <c r="E733" s="27" t="s">
        <v>92</v>
      </c>
      <c r="F733" s="27" t="s">
        <v>10</v>
      </c>
      <c r="G733" s="27" t="s">
        <v>20</v>
      </c>
      <c r="H733" s="25">
        <v>44799.611643518518</v>
      </c>
    </row>
    <row r="734" spans="1:8" x14ac:dyDescent="0.25">
      <c r="A734">
        <v>576</v>
      </c>
      <c r="B734" s="1">
        <v>44802</v>
      </c>
      <c r="C734" s="27">
        <v>16125022</v>
      </c>
      <c r="D734" s="27" t="s">
        <v>23</v>
      </c>
      <c r="E734" s="27" t="s">
        <v>91</v>
      </c>
      <c r="F734" s="27" t="s">
        <v>10</v>
      </c>
      <c r="G734" s="27" t="s">
        <v>20</v>
      </c>
      <c r="H734" s="25">
        <v>44799.582060185188</v>
      </c>
    </row>
    <row r="735" spans="1:8" x14ac:dyDescent="0.25">
      <c r="A735">
        <v>575</v>
      </c>
      <c r="B735" s="1">
        <v>44802</v>
      </c>
      <c r="C735" s="27">
        <v>16124993</v>
      </c>
      <c r="D735" s="27" t="s">
        <v>23</v>
      </c>
      <c r="E735" s="27" t="s">
        <v>90</v>
      </c>
      <c r="F735" s="27" t="s">
        <v>10</v>
      </c>
      <c r="G735" s="27" t="s">
        <v>20</v>
      </c>
      <c r="H735" s="25">
        <v>44799.580381944441</v>
      </c>
    </row>
    <row r="736" spans="1:8" x14ac:dyDescent="0.25">
      <c r="A736">
        <v>578</v>
      </c>
      <c r="B736" s="1">
        <v>44802</v>
      </c>
      <c r="C736" s="27">
        <v>16125040</v>
      </c>
      <c r="D736" s="27" t="s">
        <v>19</v>
      </c>
      <c r="E736" s="27" t="s">
        <v>93</v>
      </c>
      <c r="F736" s="27" t="s">
        <v>10</v>
      </c>
      <c r="G736" s="27" t="s">
        <v>20</v>
      </c>
      <c r="H736" s="25">
        <v>44799.587650462963</v>
      </c>
    </row>
    <row r="737" spans="1:8" x14ac:dyDescent="0.25">
      <c r="A737">
        <v>581</v>
      </c>
      <c r="B737" s="1">
        <v>44802</v>
      </c>
      <c r="C737" s="27">
        <v>16125141</v>
      </c>
      <c r="D737" s="27" t="s">
        <v>23</v>
      </c>
      <c r="E737" s="27" t="s">
        <v>96</v>
      </c>
      <c r="F737" s="27" t="s">
        <v>10</v>
      </c>
      <c r="G737" s="27" t="s">
        <v>20</v>
      </c>
      <c r="H737" s="25">
        <v>44799.589363425926</v>
      </c>
    </row>
    <row r="738" spans="1:8" x14ac:dyDescent="0.25">
      <c r="A738">
        <v>580</v>
      </c>
      <c r="B738" s="1">
        <v>44802</v>
      </c>
      <c r="C738" s="27">
        <v>16125138</v>
      </c>
      <c r="D738" s="27" t="s">
        <v>22</v>
      </c>
      <c r="E738" s="27" t="s">
        <v>95</v>
      </c>
      <c r="F738" s="27" t="s">
        <v>17</v>
      </c>
      <c r="G738" s="27" t="s">
        <v>20</v>
      </c>
      <c r="H738" s="25">
        <v>44799.612210648149</v>
      </c>
    </row>
    <row r="739" spans="1:8" x14ac:dyDescent="0.25">
      <c r="A739">
        <v>579</v>
      </c>
      <c r="B739" s="1">
        <v>44802</v>
      </c>
      <c r="C739" s="27">
        <v>16125071</v>
      </c>
      <c r="D739" s="27" t="s">
        <v>22</v>
      </c>
      <c r="E739" s="27" t="s">
        <v>94</v>
      </c>
      <c r="F739" s="27" t="s">
        <v>17</v>
      </c>
      <c r="G739" s="27" t="s">
        <v>20</v>
      </c>
      <c r="H739" s="25">
        <v>44799.610995370371</v>
      </c>
    </row>
    <row r="740" spans="1:8" x14ac:dyDescent="0.25">
      <c r="A740">
        <v>574</v>
      </c>
      <c r="B740" s="1">
        <v>44802</v>
      </c>
      <c r="C740" s="27">
        <v>16124918</v>
      </c>
      <c r="D740" s="27" t="s">
        <v>26</v>
      </c>
      <c r="E740" s="27" t="s">
        <v>89</v>
      </c>
      <c r="F740" s="27" t="s">
        <v>17</v>
      </c>
      <c r="G740" s="27" t="s">
        <v>20</v>
      </c>
      <c r="H740" s="25">
        <v>44799.60328703704</v>
      </c>
    </row>
    <row r="741" spans="1:8" x14ac:dyDescent="0.25">
      <c r="A741">
        <v>569</v>
      </c>
      <c r="B741" s="1">
        <v>44802</v>
      </c>
      <c r="C741" s="27">
        <v>16124680</v>
      </c>
      <c r="D741" s="27" t="s">
        <v>19</v>
      </c>
      <c r="E741" s="27" t="s">
        <v>52</v>
      </c>
      <c r="F741" s="27" t="s">
        <v>10</v>
      </c>
      <c r="G741" s="27" t="s">
        <v>20</v>
      </c>
      <c r="H741" s="25">
        <v>44799.585474537038</v>
      </c>
    </row>
    <row r="742" spans="1:8" x14ac:dyDescent="0.25">
      <c r="A742">
        <v>568</v>
      </c>
      <c r="B742" s="1">
        <v>44802</v>
      </c>
      <c r="C742" s="27">
        <v>16124594</v>
      </c>
      <c r="D742" s="27" t="s">
        <v>19</v>
      </c>
      <c r="E742" s="27" t="s">
        <v>84</v>
      </c>
      <c r="F742" s="27" t="s">
        <v>10</v>
      </c>
      <c r="G742" s="27" t="s">
        <v>20</v>
      </c>
      <c r="H742" s="25">
        <v>44799.585034722222</v>
      </c>
    </row>
    <row r="743" spans="1:8" x14ac:dyDescent="0.25">
      <c r="A743">
        <v>567</v>
      </c>
      <c r="B743" s="1">
        <v>44802</v>
      </c>
      <c r="C743" s="27">
        <v>16124578</v>
      </c>
      <c r="D743" s="27" t="s">
        <v>19</v>
      </c>
      <c r="E743" s="27" t="s">
        <v>83</v>
      </c>
      <c r="F743" s="27" t="s">
        <v>10</v>
      </c>
      <c r="G743" s="27" t="s">
        <v>20</v>
      </c>
      <c r="H743" s="25">
        <v>44799.584374999999</v>
      </c>
    </row>
    <row r="744" spans="1:8" x14ac:dyDescent="0.25">
      <c r="A744">
        <v>570</v>
      </c>
      <c r="B744" s="1">
        <v>44802</v>
      </c>
      <c r="C744" s="27">
        <v>16124830</v>
      </c>
      <c r="D744" s="27" t="s">
        <v>25</v>
      </c>
      <c r="E744" s="27" t="s">
        <v>85</v>
      </c>
      <c r="F744" s="27" t="s">
        <v>10</v>
      </c>
      <c r="G744" s="27" t="s">
        <v>20</v>
      </c>
      <c r="H744" s="25">
        <v>44799.577361111114</v>
      </c>
    </row>
    <row r="745" spans="1:8" x14ac:dyDescent="0.25">
      <c r="A745">
        <v>573</v>
      </c>
      <c r="B745" s="1">
        <v>44802</v>
      </c>
      <c r="C745" s="27">
        <v>16124901</v>
      </c>
      <c r="D745" s="27" t="s">
        <v>25</v>
      </c>
      <c r="E745" s="27" t="s">
        <v>88</v>
      </c>
      <c r="F745" s="27" t="s">
        <v>10</v>
      </c>
      <c r="G745" s="27" t="s">
        <v>20</v>
      </c>
      <c r="H745" s="25">
        <v>44799.578784722224</v>
      </c>
    </row>
    <row r="746" spans="1:8" x14ac:dyDescent="0.25">
      <c r="A746">
        <v>572</v>
      </c>
      <c r="B746" s="1">
        <v>44802</v>
      </c>
      <c r="C746" s="27">
        <v>16124878</v>
      </c>
      <c r="D746" s="27" t="s">
        <v>25</v>
      </c>
      <c r="E746" s="27" t="s">
        <v>87</v>
      </c>
      <c r="F746" s="27" t="s">
        <v>10</v>
      </c>
      <c r="G746" s="27" t="s">
        <v>20</v>
      </c>
      <c r="H746" s="25">
        <v>44799.578182870369</v>
      </c>
    </row>
    <row r="747" spans="1:8" x14ac:dyDescent="0.25">
      <c r="A747">
        <v>571</v>
      </c>
      <c r="B747" s="1">
        <v>44802</v>
      </c>
      <c r="C747" s="27">
        <v>16124854</v>
      </c>
      <c r="D747" s="27" t="s">
        <v>25</v>
      </c>
      <c r="E747" s="27" t="s">
        <v>86</v>
      </c>
      <c r="F747" s="27" t="s">
        <v>17</v>
      </c>
      <c r="G747" s="27" t="s">
        <v>20</v>
      </c>
      <c r="H747" s="25">
        <v>44799.5778125</v>
      </c>
    </row>
    <row r="748" spans="1:8" x14ac:dyDescent="0.25">
      <c r="A748">
        <v>2</v>
      </c>
      <c r="B748" s="1">
        <v>44802</v>
      </c>
      <c r="C748" s="27">
        <v>16124766</v>
      </c>
      <c r="D748" s="27" t="s">
        <v>11</v>
      </c>
      <c r="E748" s="27" t="s">
        <v>454</v>
      </c>
      <c r="F748" s="27" t="s">
        <v>16</v>
      </c>
      <c r="G748" s="27" t="s">
        <v>8</v>
      </c>
      <c r="H748" s="25">
        <v>44799.569930555554</v>
      </c>
    </row>
    <row r="749" spans="1:8" x14ac:dyDescent="0.25">
      <c r="A749">
        <v>3</v>
      </c>
      <c r="B749" s="1">
        <v>44802</v>
      </c>
      <c r="C749" s="27">
        <v>16124971</v>
      </c>
      <c r="D749" s="27" t="s">
        <v>11</v>
      </c>
      <c r="E749" s="27" t="s">
        <v>455</v>
      </c>
      <c r="F749" s="27" t="s">
        <v>13</v>
      </c>
      <c r="G749" s="27" t="s">
        <v>8</v>
      </c>
      <c r="H749" s="25">
        <v>44799.578576388885</v>
      </c>
    </row>
    <row r="750" spans="1:8" x14ac:dyDescent="0.25">
      <c r="A750">
        <v>6</v>
      </c>
      <c r="B750" s="1">
        <v>44802</v>
      </c>
      <c r="C750" s="27">
        <v>16125274</v>
      </c>
      <c r="D750" s="27" t="s">
        <v>7</v>
      </c>
      <c r="E750" s="27" t="s">
        <v>458</v>
      </c>
      <c r="F750" s="27" t="s">
        <v>10</v>
      </c>
      <c r="G750" s="27" t="s">
        <v>8</v>
      </c>
      <c r="H750" s="25">
        <v>44799.597673611112</v>
      </c>
    </row>
    <row r="751" spans="1:8" x14ac:dyDescent="0.25">
      <c r="A751">
        <v>12</v>
      </c>
      <c r="B751" s="1">
        <v>44802</v>
      </c>
      <c r="C751" s="27">
        <v>16132793</v>
      </c>
      <c r="D751" s="27" t="s">
        <v>15</v>
      </c>
      <c r="E751" s="27" t="s">
        <v>464</v>
      </c>
      <c r="F751" s="27" t="s">
        <v>21</v>
      </c>
      <c r="G751" s="27" t="s">
        <v>8</v>
      </c>
      <c r="H751" s="25">
        <v>44802.591087962966</v>
      </c>
    </row>
    <row r="752" spans="1:8" x14ac:dyDescent="0.25">
      <c r="A752">
        <v>5</v>
      </c>
      <c r="B752" s="1">
        <v>44802</v>
      </c>
      <c r="C752" s="27">
        <v>16125200</v>
      </c>
      <c r="D752" s="27" t="s">
        <v>7</v>
      </c>
      <c r="E752" s="27" t="s">
        <v>457</v>
      </c>
      <c r="F752" s="27" t="s">
        <v>13</v>
      </c>
      <c r="G752" s="27" t="s">
        <v>8</v>
      </c>
      <c r="H752" s="25">
        <v>44799.594340277778</v>
      </c>
    </row>
    <row r="753" spans="1:8" x14ac:dyDescent="0.25">
      <c r="A753">
        <v>7</v>
      </c>
      <c r="B753" s="1">
        <v>44802</v>
      </c>
      <c r="C753" s="27">
        <v>16125310</v>
      </c>
      <c r="D753" s="27" t="s">
        <v>11</v>
      </c>
      <c r="E753" s="27" t="s">
        <v>459</v>
      </c>
      <c r="F753" s="27" t="s">
        <v>10</v>
      </c>
      <c r="G753" s="27" t="s">
        <v>8</v>
      </c>
      <c r="H753" s="25">
        <v>44799.598865740743</v>
      </c>
    </row>
    <row r="754" spans="1:8" x14ac:dyDescent="0.25">
      <c r="A754">
        <v>10</v>
      </c>
      <c r="B754" s="1">
        <v>44802</v>
      </c>
      <c r="C754" s="27">
        <v>16126062</v>
      </c>
      <c r="D754" s="27" t="s">
        <v>12</v>
      </c>
      <c r="E754" s="27" t="s">
        <v>462</v>
      </c>
      <c r="F754" s="27" t="s">
        <v>16</v>
      </c>
      <c r="G754" s="27" t="s">
        <v>8</v>
      </c>
      <c r="H754" s="25">
        <v>44799.654976851853</v>
      </c>
    </row>
    <row r="755" spans="1:8" x14ac:dyDescent="0.25">
      <c r="A755">
        <v>4</v>
      </c>
      <c r="B755" s="1">
        <v>44802</v>
      </c>
      <c r="C755" s="27">
        <v>16124990</v>
      </c>
      <c r="D755" s="27" t="s">
        <v>11</v>
      </c>
      <c r="E755" s="27" t="s">
        <v>456</v>
      </c>
      <c r="F755" s="27" t="s">
        <v>13</v>
      </c>
      <c r="G755" s="27" t="s">
        <v>8</v>
      </c>
      <c r="H755" s="25">
        <v>44799.579780092594</v>
      </c>
    </row>
    <row r="756" spans="1:8" x14ac:dyDescent="0.25">
      <c r="A756">
        <v>1</v>
      </c>
      <c r="B756" s="1">
        <v>44802</v>
      </c>
      <c r="C756" s="27">
        <v>16124381</v>
      </c>
      <c r="D756" s="27" t="s">
        <v>7</v>
      </c>
      <c r="E756" s="27" t="s">
        <v>453</v>
      </c>
      <c r="F756" s="27" t="s">
        <v>13</v>
      </c>
      <c r="G756" s="27" t="s">
        <v>8</v>
      </c>
      <c r="H756" s="25">
        <v>44799.541504629633</v>
      </c>
    </row>
    <row r="757" spans="1:8" x14ac:dyDescent="0.25">
      <c r="A757">
        <v>8</v>
      </c>
      <c r="B757" s="1">
        <v>44802</v>
      </c>
      <c r="C757" s="27">
        <v>16125392</v>
      </c>
      <c r="D757" s="27" t="s">
        <v>7</v>
      </c>
      <c r="E757" s="27" t="s">
        <v>460</v>
      </c>
      <c r="F757" s="27" t="s">
        <v>16</v>
      </c>
      <c r="G757" s="27" t="s">
        <v>8</v>
      </c>
      <c r="H757" s="25">
        <v>44799.604594907411</v>
      </c>
    </row>
    <row r="758" spans="1:8" x14ac:dyDescent="0.25">
      <c r="A758">
        <v>0</v>
      </c>
      <c r="B758" s="1">
        <v>44802</v>
      </c>
      <c r="C758" s="27">
        <v>16122602</v>
      </c>
      <c r="D758" s="27" t="s">
        <v>11</v>
      </c>
      <c r="E758" s="27" t="s">
        <v>452</v>
      </c>
      <c r="F758" s="27" t="s">
        <v>10</v>
      </c>
      <c r="G758" s="27" t="s">
        <v>8</v>
      </c>
      <c r="H758" s="25">
        <v>44799.350810185184</v>
      </c>
    </row>
    <row r="759" spans="1:8" x14ac:dyDescent="0.25">
      <c r="A759">
        <v>389</v>
      </c>
      <c r="B759" s="1">
        <v>44801</v>
      </c>
      <c r="C759" s="27">
        <v>16115044</v>
      </c>
      <c r="D759" s="27" t="s">
        <v>11</v>
      </c>
      <c r="E759" s="27" t="s">
        <v>287</v>
      </c>
      <c r="F759" s="27" t="s">
        <v>18</v>
      </c>
      <c r="G759" s="27" t="s">
        <v>30</v>
      </c>
      <c r="H759" s="25">
        <v>44797.635092592594</v>
      </c>
    </row>
    <row r="760" spans="1:8" x14ac:dyDescent="0.25">
      <c r="A760">
        <v>390</v>
      </c>
      <c r="B760" s="1">
        <v>44801</v>
      </c>
      <c r="C760" s="27">
        <v>16117856</v>
      </c>
      <c r="D760" s="27" t="s">
        <v>7</v>
      </c>
      <c r="E760" s="27" t="s">
        <v>371</v>
      </c>
      <c r="F760" s="27" t="s">
        <v>24</v>
      </c>
      <c r="G760" s="27" t="s">
        <v>29</v>
      </c>
      <c r="H760" s="25">
        <v>44798.377847222226</v>
      </c>
    </row>
    <row r="761" spans="1:8" x14ac:dyDescent="0.25">
      <c r="A761">
        <v>164</v>
      </c>
      <c r="B761" s="1">
        <v>44801</v>
      </c>
      <c r="C761" s="27">
        <v>16125235</v>
      </c>
      <c r="D761" s="27" t="s">
        <v>14</v>
      </c>
      <c r="E761" s="27" t="s">
        <v>61</v>
      </c>
      <c r="F761" s="27" t="s">
        <v>28</v>
      </c>
      <c r="G761" s="27" t="s">
        <v>33</v>
      </c>
      <c r="H761" s="25">
        <v>44799.594421296293</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9C20-EF10-47DA-ACAB-C0CE7612B18F}">
  <sheetPr codeName="Planilha9"/>
  <dimension ref="A1:B6"/>
  <sheetViews>
    <sheetView tabSelected="1" workbookViewId="0">
      <selection activeCell="B7" sqref="B7"/>
    </sheetView>
  </sheetViews>
  <sheetFormatPr defaultRowHeight="15" x14ac:dyDescent="0.25"/>
  <cols>
    <col min="1" max="1" width="26.42578125" bestFit="1" customWidth="1"/>
    <col min="2" max="2" width="36.5703125" bestFit="1" customWidth="1"/>
  </cols>
  <sheetData>
    <row r="1" spans="1:2" x14ac:dyDescent="0.25">
      <c r="A1" t="s">
        <v>5</v>
      </c>
    </row>
    <row r="2" spans="1:2" x14ac:dyDescent="0.25">
      <c r="A2" t="s">
        <v>35</v>
      </c>
    </row>
    <row r="3" spans="1:2" x14ac:dyDescent="0.25">
      <c r="A3" t="s">
        <v>36</v>
      </c>
    </row>
    <row r="4" spans="1:2" x14ac:dyDescent="0.25">
      <c r="A4" t="s">
        <v>0</v>
      </c>
      <c r="B4" s="1">
        <v>44721</v>
      </c>
    </row>
    <row r="5" spans="1:2" x14ac:dyDescent="0.25">
      <c r="A5" t="s">
        <v>37</v>
      </c>
      <c r="B5" s="28">
        <f>MAX('BASE DADOS'!H:H)</f>
        <v>44809.646990740737</v>
      </c>
    </row>
    <row r="6" spans="1:2" x14ac:dyDescent="0.25">
      <c r="A6" t="s">
        <v>49</v>
      </c>
      <c r="B6" s="27">
        <f>COUNTA('BASE DADOS'!C:C)</f>
        <v>761</v>
      </c>
    </row>
  </sheetData>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A962E-80D2-4A59-86A1-1220B681CEF5}">
  <sheetPr codeName="Planilha8"/>
  <dimension ref="A1:I43"/>
  <sheetViews>
    <sheetView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0</v>
      </c>
      <c r="B1" s="29" t="s">
        <v>38</v>
      </c>
      <c r="C1" s="30"/>
      <c r="D1" s="31" t="s">
        <v>32</v>
      </c>
      <c r="E1" s="31" t="str">
        <f>"     PT'S "&amp;Planilha2!B1&amp;"   -    "&amp;UPPER(TEXT(Planilha2!B4,"DDDD"))&amp;"   -   "&amp;UPPER(TEXT(Planilha2!B4,"dd/mm/aaaa"))</f>
        <v xml:space="preserve">     PT'S    -    QUINTA-FEIRA   -   09/06/2022</v>
      </c>
      <c r="F1" s="33" t="str">
        <f>IF(H1="Página 1/2","Atenção, mais PT'S no verso!!!"," ")</f>
        <v xml:space="preserve"> </v>
      </c>
      <c r="G1" s="34"/>
      <c r="H1" s="37" t="str">
        <f>IF(A1&gt;0,"Página 1/2","Página 1/1")</f>
        <v>Página 1/1</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16152219</v>
      </c>
      <c r="C4" s="22" t="s">
        <v>10</v>
      </c>
      <c r="D4" s="22" t="s">
        <v>7</v>
      </c>
      <c r="E4" s="23" t="s">
        <v>583</v>
      </c>
      <c r="F4" s="24"/>
      <c r="G4" s="24"/>
      <c r="H4" s="24"/>
      <c r="I4" s="4"/>
    </row>
    <row r="5" spans="1:9" ht="27.75" customHeight="1" x14ac:dyDescent="0.25">
      <c r="B5" s="16">
        <v>16154369</v>
      </c>
      <c r="C5" s="16" t="s">
        <v>10</v>
      </c>
      <c r="D5" s="16" t="s">
        <v>11</v>
      </c>
      <c r="E5" s="20" t="s">
        <v>576</v>
      </c>
      <c r="F5" s="15"/>
      <c r="G5" s="15"/>
      <c r="H5" s="15"/>
      <c r="I5" s="4"/>
    </row>
    <row r="6" spans="1:9" ht="27.75" customHeight="1" x14ac:dyDescent="0.25">
      <c r="B6" s="16">
        <v>16154317</v>
      </c>
      <c r="C6" s="16" t="s">
        <v>10</v>
      </c>
      <c r="D6" s="16" t="s">
        <v>11</v>
      </c>
      <c r="E6" s="20" t="s">
        <v>577</v>
      </c>
      <c r="F6" s="15"/>
      <c r="G6" s="15"/>
      <c r="H6" s="15"/>
      <c r="I6" s="4"/>
    </row>
    <row r="7" spans="1:9" ht="27.75" customHeight="1" x14ac:dyDescent="0.25">
      <c r="B7" s="16">
        <v>16154345</v>
      </c>
      <c r="C7" s="16"/>
      <c r="D7" s="16" t="s">
        <v>7</v>
      </c>
      <c r="E7" s="20" t="s">
        <v>598</v>
      </c>
      <c r="F7" s="15"/>
      <c r="G7" s="15"/>
      <c r="H7" s="15"/>
      <c r="I7" s="4"/>
    </row>
    <row r="8" spans="1:9" ht="27.75" customHeight="1" x14ac:dyDescent="0.25">
      <c r="B8" s="22">
        <v>16154310</v>
      </c>
      <c r="C8" s="22" t="s">
        <v>10</v>
      </c>
      <c r="D8" s="22" t="s">
        <v>7</v>
      </c>
      <c r="E8" s="23" t="s">
        <v>599</v>
      </c>
      <c r="F8" s="24"/>
      <c r="G8" s="24"/>
      <c r="H8" s="24"/>
      <c r="I8" s="4"/>
    </row>
    <row r="9" spans="1:9" ht="27.75" customHeight="1" x14ac:dyDescent="0.25">
      <c r="B9" s="16">
        <v>16154292</v>
      </c>
      <c r="C9" s="16" t="s">
        <v>10</v>
      </c>
      <c r="D9" s="16" t="s">
        <v>11</v>
      </c>
      <c r="E9" s="20" t="s">
        <v>578</v>
      </c>
      <c r="F9" s="15"/>
      <c r="G9" s="15"/>
      <c r="H9" s="15"/>
      <c r="I9" s="4"/>
    </row>
    <row r="10" spans="1:9" ht="27.75" customHeight="1" x14ac:dyDescent="0.25">
      <c r="B10" s="16">
        <v>16154168</v>
      </c>
      <c r="C10" s="16" t="s">
        <v>10</v>
      </c>
      <c r="D10" s="16" t="s">
        <v>11</v>
      </c>
      <c r="E10" s="20" t="s">
        <v>294</v>
      </c>
      <c r="F10" s="15"/>
      <c r="G10" s="15"/>
      <c r="H10" s="15"/>
      <c r="I10" s="4"/>
    </row>
    <row r="11" spans="1:9" ht="27.75" customHeight="1" x14ac:dyDescent="0.25">
      <c r="B11" s="16">
        <v>16153915</v>
      </c>
      <c r="C11" s="16" t="s">
        <v>10</v>
      </c>
      <c r="D11" s="16" t="s">
        <v>7</v>
      </c>
      <c r="E11" s="20" t="s">
        <v>581</v>
      </c>
      <c r="F11" s="15"/>
      <c r="G11" s="15"/>
      <c r="H11" s="15"/>
      <c r="I11" s="4"/>
    </row>
    <row r="12" spans="1:9" ht="27.75" customHeight="1" x14ac:dyDescent="0.25">
      <c r="B12" s="16">
        <v>16154268</v>
      </c>
      <c r="C12" s="16" t="s">
        <v>10</v>
      </c>
      <c r="D12" s="16" t="s">
        <v>11</v>
      </c>
      <c r="E12" s="20" t="s">
        <v>579</v>
      </c>
      <c r="F12" s="15"/>
      <c r="G12" s="15"/>
      <c r="H12" s="15"/>
      <c r="I12" s="4"/>
    </row>
    <row r="13" spans="1:9" ht="27.75" customHeight="1" x14ac:dyDescent="0.25">
      <c r="B13" s="16">
        <v>16154213</v>
      </c>
      <c r="C13" s="16"/>
      <c r="D13" s="16" t="s">
        <v>7</v>
      </c>
      <c r="E13" s="20" t="s">
        <v>580</v>
      </c>
      <c r="F13" s="15"/>
      <c r="G13" s="15"/>
      <c r="H13" s="15"/>
      <c r="I13" s="4"/>
    </row>
    <row r="14" spans="1:9" ht="27.75" customHeight="1" x14ac:dyDescent="0.25">
      <c r="B14" s="16"/>
      <c r="C14" s="16"/>
      <c r="D14" s="16"/>
      <c r="E14" s="20"/>
      <c r="F14" s="15"/>
      <c r="G14" s="15"/>
      <c r="H14" s="15"/>
      <c r="I14" s="4"/>
    </row>
    <row r="15" spans="1:9" ht="27.75" customHeight="1" x14ac:dyDescent="0.25">
      <c r="B15" s="16"/>
      <c r="C15" s="16"/>
      <c r="D15" s="16"/>
      <c r="E15" s="20"/>
      <c r="F15" s="15"/>
      <c r="G15" s="15"/>
      <c r="H15" s="15"/>
      <c r="I15" s="4"/>
    </row>
    <row r="16" spans="1:9" ht="27.75" customHeight="1" x14ac:dyDescent="0.25">
      <c r="B16" s="16"/>
      <c r="C16" s="16"/>
      <c r="D16" s="16"/>
      <c r="E16" s="20"/>
      <c r="F16" s="15"/>
      <c r="G16" s="15"/>
      <c r="H16" s="15"/>
      <c r="I16" s="4"/>
    </row>
    <row r="17" spans="2:9" ht="27.75" customHeight="1" x14ac:dyDescent="0.25">
      <c r="B17" s="16"/>
      <c r="C17" s="16"/>
      <c r="D17" s="16"/>
      <c r="E17" s="20"/>
      <c r="F17" s="15"/>
      <c r="G17" s="15"/>
      <c r="H17" s="15"/>
      <c r="I17" s="4"/>
    </row>
    <row r="18" spans="2:9" ht="27.75" customHeight="1" x14ac:dyDescent="0.25">
      <c r="B18" s="16"/>
      <c r="C18" s="16"/>
      <c r="D18" s="16"/>
      <c r="E18" s="20"/>
      <c r="F18" s="15"/>
      <c r="G18" s="15"/>
      <c r="H18" s="15"/>
      <c r="I18" s="4"/>
    </row>
    <row r="19" spans="2:9" ht="27.75" customHeight="1" x14ac:dyDescent="0.25">
      <c r="B19" s="16"/>
      <c r="C19" s="16"/>
      <c r="D19" s="16"/>
      <c r="E19" s="20"/>
      <c r="F19" s="15"/>
      <c r="G19" s="15"/>
      <c r="H19" s="15"/>
      <c r="I19" s="4"/>
    </row>
    <row r="20" spans="2:9" ht="27.75" customHeight="1" x14ac:dyDescent="0.25">
      <c r="B20" s="16"/>
      <c r="C20" s="16"/>
      <c r="D20" s="16"/>
      <c r="E20" s="20"/>
      <c r="F20" s="15"/>
      <c r="G20" s="15"/>
      <c r="H20" s="15"/>
      <c r="I20" s="4"/>
    </row>
    <row r="21" spans="2:9" ht="27.75" customHeight="1" x14ac:dyDescent="0.25">
      <c r="B21" s="16"/>
      <c r="C21" s="16"/>
      <c r="D21" s="16"/>
      <c r="E21" s="20"/>
      <c r="F21" s="15"/>
      <c r="G21" s="15"/>
      <c r="H21" s="15"/>
      <c r="I21" s="4"/>
    </row>
    <row r="22" spans="2:9" ht="25.5" customHeight="1" thickBot="1" x14ac:dyDescent="0.3">
      <c r="B22" s="18"/>
      <c r="C22" s="18"/>
      <c r="D22" s="18"/>
      <c r="E22" s="21"/>
      <c r="F22" s="17"/>
      <c r="G22" s="17"/>
      <c r="H22" s="17"/>
      <c r="I22" s="4"/>
    </row>
    <row r="23" spans="2:9" ht="27.75" customHeight="1" x14ac:dyDescent="0.25">
      <c r="B23" s="14"/>
      <c r="C23" s="14"/>
      <c r="D23" s="14"/>
      <c r="E23" s="19"/>
      <c r="F23" s="10"/>
      <c r="G23" s="10"/>
      <c r="H23" s="10"/>
    </row>
    <row r="24" spans="2:9" ht="27.75" customHeight="1" x14ac:dyDescent="0.25">
      <c r="B24" s="14"/>
      <c r="C24" s="14"/>
      <c r="D24" s="14"/>
      <c r="E24" s="19"/>
      <c r="F24" s="10"/>
      <c r="G24" s="10"/>
      <c r="H24" s="10"/>
    </row>
    <row r="25" spans="2:9" ht="27.75" customHeight="1" x14ac:dyDescent="0.25">
      <c r="B25" s="14"/>
      <c r="C25" s="14"/>
      <c r="D25" s="14"/>
      <c r="E25" s="19"/>
      <c r="F25" s="10"/>
      <c r="G25" s="10"/>
      <c r="H25" s="10"/>
    </row>
    <row r="26" spans="2:9" ht="27.75" customHeight="1" x14ac:dyDescent="0.25">
      <c r="B26" s="14"/>
      <c r="C26" s="14"/>
      <c r="D26" s="14"/>
      <c r="E26" s="19"/>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26"/>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77" priority="13" operator="equal">
      <formula>"Página 1/2"</formula>
    </cfRule>
  </conditionalFormatting>
  <conditionalFormatting sqref="E1">
    <cfRule type="top10" dxfId="76" priority="12" rank="10"/>
  </conditionalFormatting>
  <conditionalFormatting sqref="D1">
    <cfRule type="top10" dxfId="75"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9251-E9B8-416A-AD87-24B601055A2E}">
  <sheetPr codeName="Planilha10"/>
  <dimension ref="A1:I43"/>
  <sheetViews>
    <sheetView topLeftCell="A37"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16153646</v>
      </c>
      <c r="B1" s="29" t="s">
        <v>38</v>
      </c>
      <c r="C1" s="30"/>
      <c r="D1" s="31" t="s">
        <v>29</v>
      </c>
      <c r="E1" s="31" t="str">
        <f>"     PT'S "&amp;Planilha2!B1&amp;"   -    "&amp;UPPER(TEXT(Planilha2!B4,"DDDD"))&amp;"   -   "&amp;UPPER(TEXT(Planilha2!B4,"dd/mm/aaaa"))</f>
        <v xml:space="preserve">     PT'S    -    QUINTA-FEIRA   -   09/06/2022</v>
      </c>
      <c r="F1" s="33" t="str">
        <f>IF(H1="Página 1/2","Atenção, mais PT'S no verso!!!"," ")</f>
        <v>Atenção, mais PT'S no verso!!!</v>
      </c>
      <c r="G1" s="34"/>
      <c r="H1" s="37" t="str">
        <f>IF(A1&gt;0,"Página 1/2","Página 1/1")</f>
        <v>Página 1/2</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16153779</v>
      </c>
      <c r="C4" s="22" t="s">
        <v>10</v>
      </c>
      <c r="D4" s="22" t="s">
        <v>11</v>
      </c>
      <c r="E4" s="23" t="s">
        <v>562</v>
      </c>
      <c r="F4" s="24"/>
      <c r="G4" s="24"/>
      <c r="H4" s="24"/>
      <c r="I4" s="4"/>
    </row>
    <row r="5" spans="1:9" ht="27.75" customHeight="1" x14ac:dyDescent="0.25">
      <c r="B5" s="16">
        <v>16153846</v>
      </c>
      <c r="C5" s="16" t="s">
        <v>10</v>
      </c>
      <c r="D5" s="16" t="s">
        <v>14</v>
      </c>
      <c r="E5" s="20" t="s">
        <v>410</v>
      </c>
      <c r="F5" s="15"/>
      <c r="G5" s="15"/>
      <c r="H5" s="15"/>
      <c r="I5" s="4"/>
    </row>
    <row r="6" spans="1:9" ht="27.75" customHeight="1" x14ac:dyDescent="0.25">
      <c r="B6" s="16">
        <v>16143814</v>
      </c>
      <c r="C6" s="16"/>
      <c r="D6" s="16" t="s">
        <v>14</v>
      </c>
      <c r="E6" s="20" t="s">
        <v>447</v>
      </c>
      <c r="F6" s="15"/>
      <c r="G6" s="15"/>
      <c r="H6" s="15"/>
      <c r="I6" s="4"/>
    </row>
    <row r="7" spans="1:9" ht="27.75" customHeight="1" x14ac:dyDescent="0.25">
      <c r="B7" s="16">
        <v>16153864</v>
      </c>
      <c r="C7" s="16" t="s">
        <v>10</v>
      </c>
      <c r="D7" s="16" t="s">
        <v>14</v>
      </c>
      <c r="E7" s="20" t="s">
        <v>416</v>
      </c>
      <c r="F7" s="15"/>
      <c r="G7" s="15"/>
      <c r="H7" s="15"/>
      <c r="I7" s="4"/>
    </row>
    <row r="8" spans="1:9" ht="27.75" customHeight="1" x14ac:dyDescent="0.25">
      <c r="B8" s="22">
        <v>16153852</v>
      </c>
      <c r="C8" s="22"/>
      <c r="D8" s="22" t="s">
        <v>15</v>
      </c>
      <c r="E8" s="23" t="s">
        <v>561</v>
      </c>
      <c r="F8" s="24"/>
      <c r="G8" s="24"/>
      <c r="H8" s="24"/>
      <c r="I8" s="4"/>
    </row>
    <row r="9" spans="1:9" ht="27.75" customHeight="1" x14ac:dyDescent="0.25">
      <c r="B9" s="16">
        <v>16153317</v>
      </c>
      <c r="C9" s="16" t="s">
        <v>10</v>
      </c>
      <c r="D9" s="16" t="s">
        <v>11</v>
      </c>
      <c r="E9" s="20" t="s">
        <v>437</v>
      </c>
      <c r="F9" s="15"/>
      <c r="G9" s="15"/>
      <c r="H9" s="15"/>
      <c r="I9" s="4"/>
    </row>
    <row r="10" spans="1:9" ht="27.75" customHeight="1" x14ac:dyDescent="0.25">
      <c r="B10" s="16">
        <v>16147026</v>
      </c>
      <c r="C10" s="16" t="s">
        <v>10</v>
      </c>
      <c r="D10" s="16" t="s">
        <v>46</v>
      </c>
      <c r="E10" s="20" t="s">
        <v>450</v>
      </c>
      <c r="F10" s="15"/>
      <c r="G10" s="15"/>
      <c r="H10" s="15"/>
      <c r="I10" s="4"/>
    </row>
    <row r="11" spans="1:9" ht="27.75" customHeight="1" x14ac:dyDescent="0.25">
      <c r="B11" s="16">
        <v>16154022</v>
      </c>
      <c r="C11" s="16" t="s">
        <v>10</v>
      </c>
      <c r="D11" s="16" t="s">
        <v>11</v>
      </c>
      <c r="E11" s="20" t="s">
        <v>567</v>
      </c>
      <c r="F11" s="15"/>
      <c r="G11" s="15"/>
      <c r="H11" s="15"/>
      <c r="I11" s="4"/>
    </row>
    <row r="12" spans="1:9" ht="27.75" customHeight="1" x14ac:dyDescent="0.25">
      <c r="B12" s="16">
        <v>16154092</v>
      </c>
      <c r="C12" s="16"/>
      <c r="D12" s="16" t="s">
        <v>14</v>
      </c>
      <c r="E12" s="20" t="s">
        <v>565</v>
      </c>
      <c r="F12" s="15"/>
      <c r="G12" s="15"/>
      <c r="H12" s="15"/>
      <c r="I12" s="4"/>
    </row>
    <row r="13" spans="1:9" ht="27.75" customHeight="1" x14ac:dyDescent="0.25">
      <c r="B13" s="16">
        <v>16147007</v>
      </c>
      <c r="C13" s="16" t="s">
        <v>10</v>
      </c>
      <c r="D13" s="16" t="s">
        <v>46</v>
      </c>
      <c r="E13" s="20" t="s">
        <v>451</v>
      </c>
      <c r="F13" s="15"/>
      <c r="G13" s="15"/>
      <c r="H13" s="15"/>
      <c r="I13" s="4"/>
    </row>
    <row r="14" spans="1:9" ht="27.75" customHeight="1" x14ac:dyDescent="0.25">
      <c r="B14" s="16">
        <v>16153254</v>
      </c>
      <c r="C14" s="16"/>
      <c r="D14" s="16" t="s">
        <v>7</v>
      </c>
      <c r="E14" s="20" t="s">
        <v>569</v>
      </c>
      <c r="F14" s="15"/>
      <c r="G14" s="15"/>
      <c r="H14" s="15"/>
      <c r="I14" s="4"/>
    </row>
    <row r="15" spans="1:9" ht="27.75" customHeight="1" x14ac:dyDescent="0.25">
      <c r="B15" s="16">
        <v>16152202</v>
      </c>
      <c r="C15" s="16"/>
      <c r="D15" s="16" t="s">
        <v>7</v>
      </c>
      <c r="E15" s="20" t="s">
        <v>570</v>
      </c>
      <c r="F15" s="15"/>
      <c r="G15" s="15"/>
      <c r="H15" s="15"/>
      <c r="I15" s="4"/>
    </row>
    <row r="16" spans="1:9" ht="27.75" customHeight="1" x14ac:dyDescent="0.25">
      <c r="B16" s="16">
        <v>16153694</v>
      </c>
      <c r="C16" s="16" t="s">
        <v>10</v>
      </c>
      <c r="D16" s="16" t="s">
        <v>11</v>
      </c>
      <c r="E16" s="20" t="s">
        <v>405</v>
      </c>
      <c r="F16" s="15"/>
      <c r="G16" s="15"/>
      <c r="H16" s="15"/>
      <c r="I16" s="4"/>
    </row>
    <row r="17" spans="2:9" ht="27.75" customHeight="1" x14ac:dyDescent="0.25">
      <c r="B17" s="16">
        <v>16152855</v>
      </c>
      <c r="C17" s="16"/>
      <c r="D17" s="16" t="s">
        <v>15</v>
      </c>
      <c r="E17" s="20" t="s">
        <v>568</v>
      </c>
      <c r="F17" s="15"/>
      <c r="G17" s="15"/>
      <c r="H17" s="15"/>
      <c r="I17" s="4"/>
    </row>
    <row r="18" spans="2:9" ht="27.75" customHeight="1" x14ac:dyDescent="0.25">
      <c r="B18" s="16">
        <v>16154155</v>
      </c>
      <c r="C18" s="16"/>
      <c r="D18" s="16" t="s">
        <v>11</v>
      </c>
      <c r="E18" s="20" t="s">
        <v>563</v>
      </c>
      <c r="F18" s="15"/>
      <c r="G18" s="15"/>
      <c r="H18" s="15"/>
      <c r="I18" s="4"/>
    </row>
    <row r="19" spans="2:9" ht="27.75" customHeight="1" x14ac:dyDescent="0.25">
      <c r="B19" s="16">
        <v>16153390</v>
      </c>
      <c r="C19" s="16"/>
      <c r="D19" s="16" t="s">
        <v>7</v>
      </c>
      <c r="E19" s="20" t="s">
        <v>575</v>
      </c>
      <c r="F19" s="15"/>
      <c r="G19" s="15"/>
      <c r="H19" s="15"/>
      <c r="I19" s="4"/>
    </row>
    <row r="20" spans="2:9" ht="27.75" customHeight="1" x14ac:dyDescent="0.25">
      <c r="B20" s="16">
        <v>16153320</v>
      </c>
      <c r="C20" s="16"/>
      <c r="D20" s="16" t="s">
        <v>7</v>
      </c>
      <c r="E20" s="20" t="s">
        <v>574</v>
      </c>
      <c r="F20" s="15"/>
      <c r="G20" s="15"/>
      <c r="H20" s="15"/>
      <c r="I20" s="4"/>
    </row>
    <row r="21" spans="2:9" ht="27.75" customHeight="1" x14ac:dyDescent="0.25">
      <c r="B21" s="16">
        <v>16153899</v>
      </c>
      <c r="C21" s="16"/>
      <c r="D21" s="16" t="s">
        <v>566</v>
      </c>
      <c r="E21" s="20" t="s">
        <v>446</v>
      </c>
      <c r="F21" s="15"/>
      <c r="G21" s="15"/>
      <c r="H21" s="15"/>
      <c r="I21" s="4"/>
    </row>
    <row r="22" spans="2:9" ht="25.5" customHeight="1" thickBot="1" x14ac:dyDescent="0.3">
      <c r="B22" s="18">
        <v>16154253</v>
      </c>
      <c r="C22" s="18"/>
      <c r="D22" s="18" t="s">
        <v>14</v>
      </c>
      <c r="E22" s="21" t="s">
        <v>564</v>
      </c>
      <c r="F22" s="17"/>
      <c r="G22" s="17"/>
      <c r="H22" s="17"/>
      <c r="I22" s="4"/>
    </row>
    <row r="23" spans="2:9" ht="27.75" customHeight="1" x14ac:dyDescent="0.25">
      <c r="B23" s="14">
        <v>16153646</v>
      </c>
      <c r="C23" s="14" t="s">
        <v>10</v>
      </c>
      <c r="D23" s="14" t="s">
        <v>11</v>
      </c>
      <c r="E23" s="19" t="s">
        <v>609</v>
      </c>
      <c r="F23" s="10"/>
      <c r="G23" s="10"/>
      <c r="H23" s="10"/>
    </row>
    <row r="24" spans="2:9" ht="27.75" customHeight="1" x14ac:dyDescent="0.25">
      <c r="B24" s="14">
        <v>16153602</v>
      </c>
      <c r="C24" s="14" t="s">
        <v>10</v>
      </c>
      <c r="D24" s="14" t="s">
        <v>11</v>
      </c>
      <c r="E24" s="19" t="s">
        <v>573</v>
      </c>
      <c r="F24" s="10"/>
      <c r="G24" s="10"/>
      <c r="H24" s="10"/>
    </row>
    <row r="25" spans="2:9" ht="27.75" customHeight="1" x14ac:dyDescent="0.25">
      <c r="B25" s="14">
        <v>16153059</v>
      </c>
      <c r="C25" s="14" t="s">
        <v>10</v>
      </c>
      <c r="D25" s="14" t="s">
        <v>7</v>
      </c>
      <c r="E25" s="19" t="s">
        <v>572</v>
      </c>
      <c r="F25" s="10"/>
      <c r="G25" s="10"/>
      <c r="H25" s="10"/>
    </row>
    <row r="26" spans="2:9" ht="27.75" customHeight="1" x14ac:dyDescent="0.25">
      <c r="B26" s="14">
        <v>16153036</v>
      </c>
      <c r="C26" s="14"/>
      <c r="D26" s="14" t="s">
        <v>7</v>
      </c>
      <c r="E26" s="19" t="s">
        <v>571</v>
      </c>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10"/>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64" priority="3" operator="equal">
      <formula>"Página 1/2"</formula>
    </cfRule>
  </conditionalFormatting>
  <conditionalFormatting sqref="E1">
    <cfRule type="top10" dxfId="63" priority="2" rank="10"/>
  </conditionalFormatting>
  <conditionalFormatting sqref="D1">
    <cfRule type="top10" dxfId="62"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F1954-C019-4648-878A-19529ED77A44}">
  <sheetPr codeName="Planilha11"/>
  <dimension ref="A1:I43"/>
  <sheetViews>
    <sheetView topLeftCell="A37"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0</v>
      </c>
      <c r="B1" s="29" t="s">
        <v>38</v>
      </c>
      <c r="C1" s="30"/>
      <c r="D1" s="31" t="s">
        <v>8</v>
      </c>
      <c r="E1" s="31" t="str">
        <f>"     PT'S "&amp;Planilha2!B1&amp;"   -    "&amp;UPPER(TEXT(Planilha2!B4,"DDDD"))&amp;"   -   "&amp;UPPER(TEXT(Planilha2!B4,"dd/mm/aaaa"))</f>
        <v xml:space="preserve">     PT'S    -    QUINTA-FEIRA   -   09/06/2022</v>
      </c>
      <c r="F1" s="33" t="str">
        <f>IF(H1="Página 1/2","Atenção, mais PT'S no verso!!!"," ")</f>
        <v xml:space="preserve"> </v>
      </c>
      <c r="G1" s="34"/>
      <c r="H1" s="37" t="str">
        <f>IF(A1&gt;0,"Página 1/2","Página 1/1")</f>
        <v>Página 1/1</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16152939</v>
      </c>
      <c r="C4" s="22" t="s">
        <v>10</v>
      </c>
      <c r="D4" s="22" t="s">
        <v>7</v>
      </c>
      <c r="E4" s="23" t="s">
        <v>588</v>
      </c>
      <c r="F4" s="24"/>
      <c r="G4" s="24"/>
      <c r="H4" s="24"/>
      <c r="I4" s="4"/>
    </row>
    <row r="5" spans="1:9" ht="27.75" customHeight="1" x14ac:dyDescent="0.25">
      <c r="B5" s="16">
        <v>16153055</v>
      </c>
      <c r="C5" s="16"/>
      <c r="D5" s="16" t="s">
        <v>7</v>
      </c>
      <c r="E5" s="20" t="s">
        <v>589</v>
      </c>
      <c r="F5" s="15"/>
      <c r="G5" s="15"/>
      <c r="H5" s="15"/>
      <c r="I5" s="4"/>
    </row>
    <row r="6" spans="1:9" ht="27.75" customHeight="1" x14ac:dyDescent="0.25">
      <c r="B6" s="16">
        <v>16152826</v>
      </c>
      <c r="C6" s="16"/>
      <c r="D6" s="16" t="s">
        <v>7</v>
      </c>
      <c r="E6" s="20" t="s">
        <v>590</v>
      </c>
      <c r="F6" s="15"/>
      <c r="G6" s="15"/>
      <c r="H6" s="15"/>
      <c r="I6" s="4"/>
    </row>
    <row r="7" spans="1:9" ht="27.75" customHeight="1" x14ac:dyDescent="0.25">
      <c r="B7" s="16">
        <v>16152007</v>
      </c>
      <c r="C7" s="16" t="s">
        <v>10</v>
      </c>
      <c r="D7" s="16" t="s">
        <v>11</v>
      </c>
      <c r="E7" s="20" t="s">
        <v>463</v>
      </c>
      <c r="F7" s="15"/>
      <c r="G7" s="15"/>
      <c r="H7" s="15"/>
      <c r="I7" s="4"/>
    </row>
    <row r="8" spans="1:9" ht="27.75" customHeight="1" x14ac:dyDescent="0.25">
      <c r="B8" s="22">
        <v>16152285</v>
      </c>
      <c r="C8" s="22" t="s">
        <v>10</v>
      </c>
      <c r="D8" s="22" t="s">
        <v>7</v>
      </c>
      <c r="E8" s="23" t="s">
        <v>586</v>
      </c>
      <c r="F8" s="24"/>
      <c r="G8" s="24"/>
      <c r="H8" s="24"/>
      <c r="I8" s="4"/>
    </row>
    <row r="9" spans="1:9" ht="27.75" customHeight="1" x14ac:dyDescent="0.25">
      <c r="B9" s="16">
        <v>16152883</v>
      </c>
      <c r="C9" s="16" t="s">
        <v>10</v>
      </c>
      <c r="D9" s="16" t="s">
        <v>7</v>
      </c>
      <c r="E9" s="20" t="s">
        <v>587</v>
      </c>
      <c r="F9" s="15"/>
      <c r="G9" s="15"/>
      <c r="H9" s="15"/>
      <c r="I9" s="4"/>
    </row>
    <row r="10" spans="1:9" ht="27.75" customHeight="1" x14ac:dyDescent="0.25">
      <c r="B10" s="16">
        <v>16152840</v>
      </c>
      <c r="C10" s="16"/>
      <c r="D10" s="16" t="s">
        <v>7</v>
      </c>
      <c r="E10" s="20" t="s">
        <v>591</v>
      </c>
      <c r="F10" s="15"/>
      <c r="G10" s="15"/>
      <c r="H10" s="15"/>
      <c r="I10" s="4"/>
    </row>
    <row r="11" spans="1:9" ht="27.75" customHeight="1" x14ac:dyDescent="0.25">
      <c r="B11" s="16">
        <v>16154212</v>
      </c>
      <c r="C11" s="16"/>
      <c r="D11" s="16" t="s">
        <v>11</v>
      </c>
      <c r="E11" s="20" t="s">
        <v>485</v>
      </c>
      <c r="F11" s="15"/>
      <c r="G11" s="15"/>
      <c r="H11" s="15"/>
      <c r="I11" s="4"/>
    </row>
    <row r="12" spans="1:9" ht="27.75" customHeight="1" x14ac:dyDescent="0.25">
      <c r="B12" s="16">
        <v>16154194</v>
      </c>
      <c r="C12" s="16"/>
      <c r="D12" s="16" t="s">
        <v>11</v>
      </c>
      <c r="E12" s="20" t="s">
        <v>596</v>
      </c>
      <c r="F12" s="15"/>
      <c r="G12" s="15"/>
      <c r="H12" s="15"/>
      <c r="I12" s="4"/>
    </row>
    <row r="13" spans="1:9" ht="27.75" customHeight="1" x14ac:dyDescent="0.25">
      <c r="B13" s="16">
        <v>16154433</v>
      </c>
      <c r="C13" s="16"/>
      <c r="D13" s="16" t="s">
        <v>11</v>
      </c>
      <c r="E13" s="20" t="s">
        <v>612</v>
      </c>
      <c r="F13" s="15"/>
      <c r="G13" s="15"/>
      <c r="H13" s="15"/>
      <c r="I13" s="4"/>
    </row>
    <row r="14" spans="1:9" ht="27.75" customHeight="1" x14ac:dyDescent="0.25">
      <c r="B14" s="16">
        <v>16154405</v>
      </c>
      <c r="C14" s="16"/>
      <c r="D14" s="16" t="s">
        <v>11</v>
      </c>
      <c r="E14" s="20" t="s">
        <v>597</v>
      </c>
      <c r="F14" s="15"/>
      <c r="G14" s="15"/>
      <c r="H14" s="15"/>
      <c r="I14" s="4"/>
    </row>
    <row r="15" spans="1:9" ht="27.75" customHeight="1" x14ac:dyDescent="0.25">
      <c r="B15" s="16">
        <v>16153932</v>
      </c>
      <c r="C15" s="16" t="s">
        <v>18</v>
      </c>
      <c r="D15" s="16" t="s">
        <v>15</v>
      </c>
      <c r="E15" s="20" t="s">
        <v>593</v>
      </c>
      <c r="F15" s="15"/>
      <c r="G15" s="15"/>
      <c r="H15" s="15"/>
      <c r="I15" s="4"/>
    </row>
    <row r="16" spans="1:9" ht="27.75" customHeight="1" x14ac:dyDescent="0.25">
      <c r="B16" s="16">
        <v>16153753</v>
      </c>
      <c r="C16" s="16"/>
      <c r="D16" s="16" t="s">
        <v>15</v>
      </c>
      <c r="E16" s="20" t="s">
        <v>592</v>
      </c>
      <c r="F16" s="15"/>
      <c r="G16" s="15"/>
      <c r="H16" s="15"/>
      <c r="I16" s="4"/>
    </row>
    <row r="17" spans="2:9" ht="27.75" customHeight="1" x14ac:dyDescent="0.25">
      <c r="B17" s="16">
        <v>16154113</v>
      </c>
      <c r="C17" s="16"/>
      <c r="D17" s="16" t="s">
        <v>14</v>
      </c>
      <c r="E17" s="20" t="s">
        <v>595</v>
      </c>
      <c r="F17" s="15"/>
      <c r="G17" s="15"/>
      <c r="H17" s="15"/>
      <c r="I17" s="4"/>
    </row>
    <row r="18" spans="2:9" ht="27.75" customHeight="1" x14ac:dyDescent="0.25">
      <c r="B18" s="16">
        <v>16154073</v>
      </c>
      <c r="C18" s="16"/>
      <c r="D18" s="16" t="s">
        <v>14</v>
      </c>
      <c r="E18" s="20" t="s">
        <v>594</v>
      </c>
      <c r="F18" s="15"/>
      <c r="G18" s="15"/>
      <c r="H18" s="15"/>
      <c r="I18" s="4"/>
    </row>
    <row r="19" spans="2:9" ht="27.75" customHeight="1" x14ac:dyDescent="0.25">
      <c r="B19" s="16">
        <v>16154479</v>
      </c>
      <c r="C19" s="16"/>
      <c r="D19" s="16" t="s">
        <v>11</v>
      </c>
      <c r="E19" s="20" t="s">
        <v>613</v>
      </c>
      <c r="F19" s="15"/>
      <c r="G19" s="15"/>
      <c r="H19" s="15"/>
      <c r="I19" s="4"/>
    </row>
    <row r="20" spans="2:9" ht="27.75" customHeight="1" x14ac:dyDescent="0.25">
      <c r="B20" s="16"/>
      <c r="C20" s="16"/>
      <c r="D20" s="16"/>
      <c r="E20" s="20"/>
      <c r="F20" s="15"/>
      <c r="G20" s="15"/>
      <c r="H20" s="15"/>
      <c r="I20" s="4"/>
    </row>
    <row r="21" spans="2:9" ht="27.75" customHeight="1" x14ac:dyDescent="0.25">
      <c r="B21" s="16"/>
      <c r="C21" s="16"/>
      <c r="D21" s="16"/>
      <c r="E21" s="20"/>
      <c r="F21" s="15"/>
      <c r="G21" s="15"/>
      <c r="H21" s="15"/>
      <c r="I21" s="4"/>
    </row>
    <row r="22" spans="2:9" ht="25.5" customHeight="1" thickBot="1" x14ac:dyDescent="0.3">
      <c r="B22" s="18"/>
      <c r="C22" s="18"/>
      <c r="D22" s="18"/>
      <c r="E22" s="21"/>
      <c r="F22" s="17"/>
      <c r="G22" s="17"/>
      <c r="H22" s="17"/>
      <c r="I22" s="4"/>
    </row>
    <row r="23" spans="2:9" ht="27.75" customHeight="1" x14ac:dyDescent="0.25">
      <c r="B23" s="14"/>
      <c r="C23" s="14"/>
      <c r="D23" s="14"/>
      <c r="E23" s="19"/>
      <c r="F23" s="10"/>
      <c r="G23" s="10"/>
      <c r="H23" s="10"/>
    </row>
    <row r="24" spans="2:9" ht="27.75" customHeight="1" x14ac:dyDescent="0.25">
      <c r="B24" s="14"/>
      <c r="C24" s="14"/>
      <c r="D24" s="14"/>
      <c r="E24" s="19"/>
      <c r="F24" s="10"/>
      <c r="G24" s="10"/>
      <c r="H24" s="10"/>
    </row>
    <row r="25" spans="2:9" ht="27.75" customHeight="1" x14ac:dyDescent="0.25">
      <c r="B25" s="14"/>
      <c r="C25" s="14"/>
      <c r="D25" s="14"/>
      <c r="E25" s="19"/>
      <c r="F25" s="10"/>
      <c r="G25" s="10"/>
      <c r="H25" s="10"/>
    </row>
    <row r="26" spans="2:9" ht="27.75" customHeight="1" x14ac:dyDescent="0.25">
      <c r="B26" s="14"/>
      <c r="C26" s="14"/>
      <c r="D26" s="14"/>
      <c r="E26" s="19"/>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10"/>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51" priority="3" operator="equal">
      <formula>"Página 1/2"</formula>
    </cfRule>
  </conditionalFormatting>
  <conditionalFormatting sqref="E1">
    <cfRule type="top10" dxfId="50" priority="2" rank="10"/>
  </conditionalFormatting>
  <conditionalFormatting sqref="D1">
    <cfRule type="top10" dxfId="49"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2AD-54AB-4CF0-91FA-BC8CC45703C5}">
  <sheetPr codeName="Planilha12"/>
  <dimension ref="A1:I43"/>
  <sheetViews>
    <sheetView topLeftCell="A37"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0</v>
      </c>
      <c r="B1" s="29" t="s">
        <v>38</v>
      </c>
      <c r="C1" s="30"/>
      <c r="D1" s="31" t="s">
        <v>20</v>
      </c>
      <c r="E1" s="31" t="str">
        <f>"     PT'S "&amp;Planilha2!B1&amp;"   -    "&amp;UPPER(TEXT(Planilha2!B4,"DDDD"))&amp;"   -   "&amp;UPPER(TEXT(Planilha2!B4,"dd/mm/aaaa"))</f>
        <v xml:space="preserve">     PT'S    -    QUINTA-FEIRA   -   09/06/2022</v>
      </c>
      <c r="F1" s="33" t="str">
        <f>IF(H1="Página 1/2","Atenção, mais PT'S no verso!!!"," ")</f>
        <v xml:space="preserve"> </v>
      </c>
      <c r="G1" s="34"/>
      <c r="H1" s="37" t="str">
        <f>IF(A1&gt;0,"Página 1/2","Página 1/1")</f>
        <v>Página 1/1</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16152280</v>
      </c>
      <c r="C4" s="22" t="s">
        <v>10</v>
      </c>
      <c r="D4" s="22" t="s">
        <v>19</v>
      </c>
      <c r="E4" s="23" t="s">
        <v>93</v>
      </c>
      <c r="F4" s="24"/>
      <c r="G4" s="24"/>
      <c r="H4" s="24"/>
      <c r="I4" s="4"/>
    </row>
    <row r="5" spans="1:9" ht="27.75" customHeight="1" x14ac:dyDescent="0.25">
      <c r="B5" s="16">
        <v>16152857</v>
      </c>
      <c r="C5" s="16"/>
      <c r="D5" s="16" t="s">
        <v>19</v>
      </c>
      <c r="E5" s="20" t="s">
        <v>499</v>
      </c>
      <c r="F5" s="15"/>
      <c r="G5" s="15"/>
      <c r="H5" s="15"/>
      <c r="I5" s="4"/>
    </row>
    <row r="6" spans="1:9" ht="27.75" customHeight="1" x14ac:dyDescent="0.25">
      <c r="B6" s="16">
        <v>16153173</v>
      </c>
      <c r="C6" s="16" t="s">
        <v>10</v>
      </c>
      <c r="D6" s="16" t="s">
        <v>19</v>
      </c>
      <c r="E6" s="20" t="s">
        <v>498</v>
      </c>
      <c r="F6" s="15"/>
      <c r="G6" s="15"/>
      <c r="H6" s="15"/>
      <c r="I6" s="4"/>
    </row>
    <row r="7" spans="1:9" ht="27.75" customHeight="1" x14ac:dyDescent="0.25">
      <c r="B7" s="16">
        <v>16152705</v>
      </c>
      <c r="C7" s="16" t="s">
        <v>10</v>
      </c>
      <c r="D7" s="16" t="s">
        <v>25</v>
      </c>
      <c r="E7" s="20" t="s">
        <v>494</v>
      </c>
      <c r="F7" s="15"/>
      <c r="G7" s="15"/>
      <c r="H7" s="15"/>
      <c r="I7" s="4"/>
    </row>
    <row r="8" spans="1:9" ht="27.75" customHeight="1" x14ac:dyDescent="0.25">
      <c r="B8" s="22">
        <v>16152690</v>
      </c>
      <c r="C8" s="22" t="s">
        <v>10</v>
      </c>
      <c r="D8" s="22" t="s">
        <v>25</v>
      </c>
      <c r="E8" s="23" t="s">
        <v>181</v>
      </c>
      <c r="F8" s="24"/>
      <c r="G8" s="24"/>
      <c r="H8" s="24"/>
      <c r="I8" s="4"/>
    </row>
    <row r="9" spans="1:9" ht="27.75" customHeight="1" x14ac:dyDescent="0.25">
      <c r="B9" s="16">
        <v>16152890</v>
      </c>
      <c r="C9" s="16" t="s">
        <v>10</v>
      </c>
      <c r="D9" s="16" t="s">
        <v>22</v>
      </c>
      <c r="E9" s="20" t="s">
        <v>496</v>
      </c>
      <c r="F9" s="15"/>
      <c r="G9" s="15"/>
      <c r="H9" s="15"/>
      <c r="I9" s="4"/>
    </row>
    <row r="10" spans="1:9" ht="27.75" customHeight="1" x14ac:dyDescent="0.25">
      <c r="B10" s="16">
        <v>16152811</v>
      </c>
      <c r="C10" s="16" t="s">
        <v>10</v>
      </c>
      <c r="D10" s="16" t="s">
        <v>22</v>
      </c>
      <c r="E10" s="20" t="s">
        <v>495</v>
      </c>
      <c r="F10" s="15"/>
      <c r="G10" s="15"/>
      <c r="H10" s="15"/>
      <c r="I10" s="4"/>
    </row>
    <row r="11" spans="1:9" ht="27.75" customHeight="1" x14ac:dyDescent="0.25">
      <c r="B11" s="16">
        <v>16152886</v>
      </c>
      <c r="C11" s="16" t="s">
        <v>10</v>
      </c>
      <c r="D11" s="16" t="s">
        <v>19</v>
      </c>
      <c r="E11" s="20" t="s">
        <v>500</v>
      </c>
      <c r="F11" s="15"/>
      <c r="G11" s="15"/>
      <c r="H11" s="15"/>
      <c r="I11" s="4"/>
    </row>
    <row r="12" spans="1:9" ht="27.75" customHeight="1" x14ac:dyDescent="0.25">
      <c r="B12" s="16">
        <v>16154289</v>
      </c>
      <c r="C12" s="16"/>
      <c r="D12" s="16" t="s">
        <v>19</v>
      </c>
      <c r="E12" s="20" t="s">
        <v>506</v>
      </c>
      <c r="F12" s="15"/>
      <c r="G12" s="15"/>
      <c r="H12" s="15"/>
      <c r="I12" s="4"/>
    </row>
    <row r="13" spans="1:9" ht="27.75" customHeight="1" x14ac:dyDescent="0.25">
      <c r="B13" s="16">
        <v>16153959</v>
      </c>
      <c r="C13" s="16"/>
      <c r="D13" s="16" t="s">
        <v>22</v>
      </c>
      <c r="E13" s="20" t="s">
        <v>505</v>
      </c>
      <c r="F13" s="15"/>
      <c r="G13" s="15"/>
      <c r="H13" s="15"/>
      <c r="I13" s="4"/>
    </row>
    <row r="14" spans="1:9" ht="27.75" customHeight="1" x14ac:dyDescent="0.25">
      <c r="B14" s="16">
        <v>16154365</v>
      </c>
      <c r="C14" s="16"/>
      <c r="D14" s="16" t="s">
        <v>19</v>
      </c>
      <c r="E14" s="20" t="s">
        <v>600</v>
      </c>
      <c r="F14" s="15"/>
      <c r="G14" s="15"/>
      <c r="H14" s="15"/>
      <c r="I14" s="4"/>
    </row>
    <row r="15" spans="1:9" ht="27.75" customHeight="1" x14ac:dyDescent="0.25">
      <c r="B15" s="16">
        <v>16152976</v>
      </c>
      <c r="C15" s="16"/>
      <c r="D15" s="16" t="s">
        <v>19</v>
      </c>
      <c r="E15" s="20" t="s">
        <v>501</v>
      </c>
      <c r="F15" s="15"/>
      <c r="G15" s="15"/>
      <c r="H15" s="15"/>
      <c r="I15" s="4"/>
    </row>
    <row r="16" spans="1:9" ht="27.75" customHeight="1" x14ac:dyDescent="0.25">
      <c r="B16" s="16">
        <v>16153349</v>
      </c>
      <c r="C16" s="16"/>
      <c r="D16" s="16" t="s">
        <v>27</v>
      </c>
      <c r="E16" s="20" t="s">
        <v>193</v>
      </c>
      <c r="F16" s="15"/>
      <c r="G16" s="15"/>
      <c r="H16" s="15"/>
      <c r="I16" s="4"/>
    </row>
    <row r="17" spans="2:9" ht="27.75" customHeight="1" x14ac:dyDescent="0.25">
      <c r="B17" s="16">
        <v>16153777</v>
      </c>
      <c r="C17" s="16"/>
      <c r="D17" s="16" t="s">
        <v>22</v>
      </c>
      <c r="E17" s="20" t="s">
        <v>504</v>
      </c>
      <c r="F17" s="15"/>
      <c r="G17" s="15"/>
      <c r="H17" s="15"/>
      <c r="I17" s="4"/>
    </row>
    <row r="18" spans="2:9" ht="27.75" customHeight="1" x14ac:dyDescent="0.25">
      <c r="B18" s="16">
        <v>16153542</v>
      </c>
      <c r="C18" s="16" t="s">
        <v>10</v>
      </c>
      <c r="D18" s="16" t="s">
        <v>22</v>
      </c>
      <c r="E18" s="20" t="s">
        <v>503</v>
      </c>
      <c r="F18" s="15"/>
      <c r="G18" s="15"/>
      <c r="H18" s="15"/>
      <c r="I18" s="4"/>
    </row>
    <row r="19" spans="2:9" ht="27.75" customHeight="1" x14ac:dyDescent="0.25">
      <c r="B19" s="16">
        <v>16151434</v>
      </c>
      <c r="C19" s="16" t="s">
        <v>10</v>
      </c>
      <c r="D19" s="16" t="s">
        <v>22</v>
      </c>
      <c r="E19" s="20" t="s">
        <v>488</v>
      </c>
      <c r="F19" s="15"/>
      <c r="G19" s="15"/>
      <c r="H19" s="15"/>
      <c r="I19" s="4"/>
    </row>
    <row r="20" spans="2:9" ht="27.75" customHeight="1" x14ac:dyDescent="0.25">
      <c r="B20" s="16">
        <v>16151399</v>
      </c>
      <c r="C20" s="16" t="s">
        <v>10</v>
      </c>
      <c r="D20" s="16" t="s">
        <v>22</v>
      </c>
      <c r="E20" s="20" t="s">
        <v>121</v>
      </c>
      <c r="F20" s="15"/>
      <c r="G20" s="15"/>
      <c r="H20" s="15"/>
      <c r="I20" s="4"/>
    </row>
    <row r="21" spans="2:9" ht="27.75" customHeight="1" x14ac:dyDescent="0.25">
      <c r="B21" s="16"/>
      <c r="C21" s="16"/>
      <c r="D21" s="16"/>
      <c r="E21" s="20"/>
      <c r="F21" s="15"/>
      <c r="G21" s="15"/>
      <c r="H21" s="15"/>
      <c r="I21" s="4"/>
    </row>
    <row r="22" spans="2:9" ht="25.5" customHeight="1" thickBot="1" x14ac:dyDescent="0.3">
      <c r="B22" s="18"/>
      <c r="C22" s="18"/>
      <c r="D22" s="18"/>
      <c r="E22" s="21"/>
      <c r="F22" s="17"/>
      <c r="G22" s="17"/>
      <c r="H22" s="17"/>
      <c r="I22" s="4"/>
    </row>
    <row r="23" spans="2:9" ht="27.75" customHeight="1" x14ac:dyDescent="0.25">
      <c r="B23" s="14"/>
      <c r="C23" s="14"/>
      <c r="D23" s="14"/>
      <c r="E23" s="19"/>
      <c r="F23" s="10"/>
      <c r="G23" s="10"/>
      <c r="H23" s="10"/>
    </row>
    <row r="24" spans="2:9" ht="27.75" customHeight="1" x14ac:dyDescent="0.25">
      <c r="B24" s="14"/>
      <c r="C24" s="14"/>
      <c r="D24" s="14"/>
      <c r="E24" s="19"/>
      <c r="F24" s="10"/>
      <c r="G24" s="10"/>
      <c r="H24" s="10"/>
    </row>
    <row r="25" spans="2:9" ht="27.75" customHeight="1" x14ac:dyDescent="0.25">
      <c r="B25" s="14"/>
      <c r="C25" s="14"/>
      <c r="D25" s="14"/>
      <c r="E25" s="19"/>
      <c r="F25" s="10"/>
      <c r="G25" s="10"/>
      <c r="H25" s="10"/>
    </row>
    <row r="26" spans="2:9" ht="27.75" customHeight="1" x14ac:dyDescent="0.25">
      <c r="B26" s="14"/>
      <c r="C26" s="14"/>
      <c r="D26" s="14"/>
      <c r="E26" s="19"/>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10"/>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38" priority="3" operator="equal">
      <formula>"Página 1/2"</formula>
    </cfRule>
  </conditionalFormatting>
  <conditionalFormatting sqref="E1">
    <cfRule type="top10" dxfId="37" priority="2" rank="10"/>
  </conditionalFormatting>
  <conditionalFormatting sqref="D1">
    <cfRule type="top10" dxfId="36"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5E5DF-A2EB-47B3-A287-81FCBFAE49CE}">
  <sheetPr codeName="Planilha13"/>
  <dimension ref="A1:I43"/>
  <sheetViews>
    <sheetView topLeftCell="A37"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0</v>
      </c>
      <c r="B1" s="29" t="s">
        <v>38</v>
      </c>
      <c r="C1" s="30"/>
      <c r="D1" s="31" t="s">
        <v>30</v>
      </c>
      <c r="E1" s="31" t="str">
        <f>"     PT'S "&amp;Planilha2!B1&amp;"   -    "&amp;UPPER(TEXT(Planilha2!B4,"DDDD"))&amp;"   -   "&amp;UPPER(TEXT(Planilha2!B4,"dd/mm/aaaa"))</f>
        <v xml:space="preserve">     PT'S    -    QUINTA-FEIRA   -   09/06/2022</v>
      </c>
      <c r="F1" s="33" t="str">
        <f>IF(H1="Página 1/2","Atenção, mais PT'S no verso!!!"," ")</f>
        <v xml:space="preserve"> </v>
      </c>
      <c r="G1" s="34"/>
      <c r="H1" s="37" t="str">
        <f>IF(A1&gt;0,"Página 1/2","Página 1/1")</f>
        <v>Página 1/1</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16153126</v>
      </c>
      <c r="C4" s="22" t="s">
        <v>28</v>
      </c>
      <c r="D4" s="22" t="s">
        <v>7</v>
      </c>
      <c r="E4" s="23" t="s">
        <v>510</v>
      </c>
      <c r="F4" s="24"/>
      <c r="G4" s="24"/>
      <c r="H4" s="24"/>
      <c r="I4" s="4"/>
    </row>
    <row r="5" spans="1:9" ht="27.75" customHeight="1" x14ac:dyDescent="0.25">
      <c r="B5" s="16">
        <v>16153878</v>
      </c>
      <c r="C5" s="16" t="s">
        <v>10</v>
      </c>
      <c r="D5" s="16" t="s">
        <v>15</v>
      </c>
      <c r="E5" s="20" t="s">
        <v>514</v>
      </c>
      <c r="F5" s="15"/>
      <c r="G5" s="15"/>
      <c r="H5" s="15"/>
      <c r="I5" s="4"/>
    </row>
    <row r="6" spans="1:9" ht="27.75" customHeight="1" x14ac:dyDescent="0.25">
      <c r="B6" s="16">
        <v>16151445</v>
      </c>
      <c r="C6" s="16"/>
      <c r="D6" s="16" t="s">
        <v>9</v>
      </c>
      <c r="E6" s="20" t="s">
        <v>288</v>
      </c>
      <c r="F6" s="15"/>
      <c r="G6" s="15"/>
      <c r="H6" s="15"/>
      <c r="I6" s="4"/>
    </row>
    <row r="7" spans="1:9" ht="27.75" customHeight="1" x14ac:dyDescent="0.25">
      <c r="B7" s="16">
        <v>16152241</v>
      </c>
      <c r="C7" s="16"/>
      <c r="D7" s="16" t="s">
        <v>7</v>
      </c>
      <c r="E7" s="20" t="s">
        <v>509</v>
      </c>
      <c r="F7" s="15"/>
      <c r="G7" s="15"/>
      <c r="H7" s="15"/>
      <c r="I7" s="4"/>
    </row>
    <row r="8" spans="1:9" ht="27.75" customHeight="1" x14ac:dyDescent="0.25">
      <c r="B8" s="22">
        <v>16153456</v>
      </c>
      <c r="C8" s="22" t="s">
        <v>10</v>
      </c>
      <c r="D8" s="22" t="s">
        <v>12</v>
      </c>
      <c r="E8" s="23" t="s">
        <v>511</v>
      </c>
      <c r="F8" s="24"/>
      <c r="G8" s="24"/>
      <c r="H8" s="24"/>
      <c r="I8" s="4"/>
    </row>
    <row r="9" spans="1:9" ht="27.75" customHeight="1" x14ac:dyDescent="0.25">
      <c r="B9" s="16">
        <v>16153651</v>
      </c>
      <c r="C9" s="16" t="s">
        <v>10</v>
      </c>
      <c r="D9" s="16" t="s">
        <v>12</v>
      </c>
      <c r="E9" s="20" t="s">
        <v>513</v>
      </c>
      <c r="F9" s="15"/>
      <c r="G9" s="15"/>
      <c r="H9" s="15"/>
      <c r="I9" s="4"/>
    </row>
    <row r="10" spans="1:9" ht="27.75" customHeight="1" x14ac:dyDescent="0.25">
      <c r="B10" s="16">
        <v>16153984</v>
      </c>
      <c r="C10" s="16" t="s">
        <v>10</v>
      </c>
      <c r="D10" s="16" t="s">
        <v>15</v>
      </c>
      <c r="E10" s="20" t="s">
        <v>525</v>
      </c>
      <c r="F10" s="15"/>
      <c r="G10" s="15"/>
      <c r="H10" s="15"/>
      <c r="I10" s="4"/>
    </row>
    <row r="11" spans="1:9" ht="27.75" customHeight="1" x14ac:dyDescent="0.25">
      <c r="B11" s="16">
        <v>16153508</v>
      </c>
      <c r="C11" s="16" t="s">
        <v>10</v>
      </c>
      <c r="D11" s="16" t="s">
        <v>12</v>
      </c>
      <c r="E11" s="20" t="s">
        <v>512</v>
      </c>
      <c r="F11" s="15"/>
      <c r="G11" s="15"/>
      <c r="H11" s="15"/>
      <c r="I11" s="4"/>
    </row>
    <row r="12" spans="1:9" ht="27.75" customHeight="1" x14ac:dyDescent="0.25">
      <c r="B12" s="16">
        <v>16153577</v>
      </c>
      <c r="C12" s="16" t="s">
        <v>10</v>
      </c>
      <c r="D12" s="16" t="s">
        <v>12</v>
      </c>
      <c r="E12" s="20" t="s">
        <v>214</v>
      </c>
      <c r="F12" s="15"/>
      <c r="G12" s="15"/>
      <c r="H12" s="15"/>
      <c r="I12" s="4"/>
    </row>
    <row r="13" spans="1:9" ht="27.75" customHeight="1" x14ac:dyDescent="0.25">
      <c r="B13" s="16"/>
      <c r="C13" s="16"/>
      <c r="D13" s="16"/>
      <c r="E13" s="20"/>
      <c r="F13" s="15"/>
      <c r="G13" s="15"/>
      <c r="H13" s="15"/>
      <c r="I13" s="4"/>
    </row>
    <row r="14" spans="1:9" ht="27.75" customHeight="1" x14ac:dyDescent="0.25">
      <c r="B14" s="16"/>
      <c r="C14" s="16"/>
      <c r="D14" s="16"/>
      <c r="E14" s="20"/>
      <c r="F14" s="15"/>
      <c r="G14" s="15"/>
      <c r="H14" s="15"/>
      <c r="I14" s="4"/>
    </row>
    <row r="15" spans="1:9" ht="27.75" customHeight="1" x14ac:dyDescent="0.25">
      <c r="B15" s="16"/>
      <c r="C15" s="16"/>
      <c r="D15" s="16"/>
      <c r="E15" s="20"/>
      <c r="F15" s="15"/>
      <c r="G15" s="15"/>
      <c r="H15" s="15"/>
      <c r="I15" s="4"/>
    </row>
    <row r="16" spans="1:9" ht="27.75" customHeight="1" x14ac:dyDescent="0.25">
      <c r="B16" s="16"/>
      <c r="C16" s="16"/>
      <c r="D16" s="16"/>
      <c r="E16" s="20"/>
      <c r="F16" s="15"/>
      <c r="G16" s="15"/>
      <c r="H16" s="15"/>
      <c r="I16" s="4"/>
    </row>
    <row r="17" spans="2:9" ht="27.75" customHeight="1" x14ac:dyDescent="0.25">
      <c r="B17" s="16"/>
      <c r="C17" s="16"/>
      <c r="D17" s="16"/>
      <c r="E17" s="20"/>
      <c r="F17" s="15"/>
      <c r="G17" s="15"/>
      <c r="H17" s="15"/>
      <c r="I17" s="4"/>
    </row>
    <row r="18" spans="2:9" ht="27.75" customHeight="1" x14ac:dyDescent="0.25">
      <c r="B18" s="16"/>
      <c r="C18" s="16"/>
      <c r="D18" s="16"/>
      <c r="E18" s="20"/>
      <c r="F18" s="15"/>
      <c r="G18" s="15"/>
      <c r="H18" s="15"/>
      <c r="I18" s="4"/>
    </row>
    <row r="19" spans="2:9" ht="27.75" customHeight="1" x14ac:dyDescent="0.25">
      <c r="B19" s="16"/>
      <c r="C19" s="16"/>
      <c r="D19" s="16"/>
      <c r="E19" s="20"/>
      <c r="F19" s="15"/>
      <c r="G19" s="15"/>
      <c r="H19" s="15"/>
      <c r="I19" s="4"/>
    </row>
    <row r="20" spans="2:9" ht="27.75" customHeight="1" x14ac:dyDescent="0.25">
      <c r="B20" s="16"/>
      <c r="C20" s="16"/>
      <c r="D20" s="16"/>
      <c r="E20" s="20"/>
      <c r="F20" s="15"/>
      <c r="G20" s="15"/>
      <c r="H20" s="15"/>
      <c r="I20" s="4"/>
    </row>
    <row r="21" spans="2:9" ht="27.75" customHeight="1" x14ac:dyDescent="0.25">
      <c r="B21" s="16"/>
      <c r="C21" s="16"/>
      <c r="D21" s="16"/>
      <c r="E21" s="20"/>
      <c r="F21" s="15"/>
      <c r="G21" s="15"/>
      <c r="H21" s="15"/>
      <c r="I21" s="4"/>
    </row>
    <row r="22" spans="2:9" ht="25.5" customHeight="1" thickBot="1" x14ac:dyDescent="0.3">
      <c r="B22" s="18"/>
      <c r="C22" s="18"/>
      <c r="D22" s="18"/>
      <c r="E22" s="21"/>
      <c r="F22" s="17"/>
      <c r="G22" s="17"/>
      <c r="H22" s="17"/>
      <c r="I22" s="4"/>
    </row>
    <row r="23" spans="2:9" ht="27.75" customHeight="1" x14ac:dyDescent="0.25">
      <c r="B23" s="14"/>
      <c r="C23" s="14"/>
      <c r="D23" s="14"/>
      <c r="E23" s="19"/>
      <c r="F23" s="10"/>
      <c r="G23" s="10"/>
      <c r="H23" s="10"/>
    </row>
    <row r="24" spans="2:9" ht="27.75" customHeight="1" x14ac:dyDescent="0.25">
      <c r="B24" s="14"/>
      <c r="C24" s="14"/>
      <c r="D24" s="14"/>
      <c r="E24" s="19"/>
      <c r="F24" s="10"/>
      <c r="G24" s="10"/>
      <c r="H24" s="10"/>
    </row>
    <row r="25" spans="2:9" ht="27.75" customHeight="1" x14ac:dyDescent="0.25">
      <c r="B25" s="14"/>
      <c r="C25" s="14"/>
      <c r="D25" s="14"/>
      <c r="E25" s="19"/>
      <c r="F25" s="10"/>
      <c r="G25" s="10"/>
      <c r="H25" s="10"/>
    </row>
    <row r="26" spans="2:9" ht="27.75" customHeight="1" x14ac:dyDescent="0.25">
      <c r="B26" s="14"/>
      <c r="C26" s="14"/>
      <c r="D26" s="14"/>
      <c r="E26" s="19"/>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10"/>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25" priority="3" operator="equal">
      <formula>"Página 1/2"</formula>
    </cfRule>
  </conditionalFormatting>
  <conditionalFormatting sqref="E1">
    <cfRule type="top10" dxfId="24" priority="2" rank="10"/>
  </conditionalFormatting>
  <conditionalFormatting sqref="D1">
    <cfRule type="top10" dxfId="23"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E670-44DF-4CF0-B07C-A418FFD6F065}">
  <sheetPr codeName="Planilha14"/>
  <dimension ref="A1:I43"/>
  <sheetViews>
    <sheetView topLeftCell="A37" workbookViewId="0">
      <selection activeCell="F41" sqref="F41"/>
    </sheetView>
  </sheetViews>
  <sheetFormatPr defaultRowHeight="15" x14ac:dyDescent="0.25"/>
  <cols>
    <col min="1" max="1" width="0.7109375" style="2" customWidth="1"/>
    <col min="2" max="2" width="9" style="2" bestFit="1" customWidth="1"/>
    <col min="3" max="3" width="11" style="11" customWidth="1"/>
    <col min="4" max="4" width="17.140625" style="12" customWidth="1"/>
    <col min="5" max="5" width="68.7109375" style="13" customWidth="1"/>
    <col min="6" max="6" width="15.28515625" style="2" customWidth="1"/>
    <col min="7" max="7" width="8.28515625" style="2" customWidth="1"/>
    <col min="8" max="8" width="14.140625" style="2" customWidth="1"/>
    <col min="9" max="9" width="3.7109375" style="2" hidden="1" customWidth="1"/>
    <col min="10" max="16384" width="9.140625" style="2"/>
  </cols>
  <sheetData>
    <row r="1" spans="1:9" ht="15.75" customHeight="1" x14ac:dyDescent="0.25">
      <c r="A1" s="2">
        <f>B23</f>
        <v>0</v>
      </c>
      <c r="B1" s="29" t="s">
        <v>38</v>
      </c>
      <c r="C1" s="30"/>
      <c r="D1" s="31" t="s">
        <v>33</v>
      </c>
      <c r="E1" s="31" t="str">
        <f>"     PT'S "&amp;Planilha2!B1&amp;"   -    "&amp;UPPER(TEXT(Planilha2!B4,"DDDD"))&amp;"   -   "&amp;UPPER(TEXT(Planilha2!B4,"dd/mm/aaaa"))</f>
        <v xml:space="preserve">     PT'S    -    QUINTA-FEIRA   -   09/06/2022</v>
      </c>
      <c r="F1" s="33" t="str">
        <f>IF(H1="Página 1/2","Atenção, mais PT'S no verso!!!"," ")</f>
        <v xml:space="preserve"> </v>
      </c>
      <c r="G1" s="34"/>
      <c r="H1" s="37" t="str">
        <f>IF(A1&gt;0,"Página 1/2","Página 1/1")</f>
        <v>Página 1/1</v>
      </c>
      <c r="I1" s="3"/>
    </row>
    <row r="2" spans="1:9" ht="9.75" customHeight="1" thickBot="1" x14ac:dyDescent="0.3">
      <c r="B2" s="39">
        <f ca="1">NOW()</f>
        <v>44809.829804166664</v>
      </c>
      <c r="C2" s="40"/>
      <c r="D2" s="32"/>
      <c r="E2" s="32"/>
      <c r="F2" s="35"/>
      <c r="G2" s="36"/>
      <c r="H2" s="38"/>
      <c r="I2" s="4"/>
    </row>
    <row r="3" spans="1:9" ht="13.5" customHeight="1" x14ac:dyDescent="0.25">
      <c r="B3" s="5" t="s">
        <v>1</v>
      </c>
      <c r="C3" s="6" t="s">
        <v>4</v>
      </c>
      <c r="D3" s="7" t="s">
        <v>2</v>
      </c>
      <c r="E3" s="7" t="s">
        <v>3</v>
      </c>
      <c r="F3" s="8" t="s">
        <v>39</v>
      </c>
      <c r="G3" s="8" t="s">
        <v>40</v>
      </c>
      <c r="H3" s="9" t="s">
        <v>41</v>
      </c>
      <c r="I3" s="4"/>
    </row>
    <row r="4" spans="1:9" ht="27.75" customHeight="1" x14ac:dyDescent="0.25">
      <c r="B4" s="22">
        <v>16154411</v>
      </c>
      <c r="C4" s="22" t="s">
        <v>10</v>
      </c>
      <c r="D4" s="22" t="s">
        <v>12</v>
      </c>
      <c r="E4" s="23" t="s">
        <v>608</v>
      </c>
      <c r="F4" s="24"/>
      <c r="G4" s="24"/>
      <c r="H4" s="24"/>
      <c r="I4" s="4"/>
    </row>
    <row r="5" spans="1:9" ht="27.75" customHeight="1" x14ac:dyDescent="0.25">
      <c r="B5" s="16">
        <v>16154375</v>
      </c>
      <c r="C5" s="16" t="s">
        <v>18</v>
      </c>
      <c r="D5" s="16" t="s">
        <v>12</v>
      </c>
      <c r="E5" s="20" t="s">
        <v>607</v>
      </c>
      <c r="F5" s="15"/>
      <c r="G5" s="15"/>
      <c r="H5" s="15"/>
      <c r="I5" s="4"/>
    </row>
    <row r="6" spans="1:9" ht="27.75" customHeight="1" x14ac:dyDescent="0.25">
      <c r="B6" s="16">
        <v>16154056</v>
      </c>
      <c r="C6" s="16"/>
      <c r="D6" s="16" t="s">
        <v>14</v>
      </c>
      <c r="E6" s="20" t="s">
        <v>554</v>
      </c>
      <c r="F6" s="15"/>
      <c r="G6" s="15"/>
      <c r="H6" s="15"/>
      <c r="I6" s="4"/>
    </row>
    <row r="7" spans="1:9" ht="27.75" customHeight="1" x14ac:dyDescent="0.25">
      <c r="B7" s="16">
        <v>16153938</v>
      </c>
      <c r="C7" s="16" t="s">
        <v>18</v>
      </c>
      <c r="D7" s="16" t="s">
        <v>7</v>
      </c>
      <c r="E7" s="20" t="s">
        <v>548</v>
      </c>
      <c r="F7" s="15"/>
      <c r="G7" s="15"/>
      <c r="H7" s="15"/>
      <c r="I7" s="4"/>
    </row>
    <row r="8" spans="1:9" ht="27.75" customHeight="1" x14ac:dyDescent="0.25">
      <c r="B8" s="22">
        <v>16154028</v>
      </c>
      <c r="C8" s="22"/>
      <c r="D8" s="22" t="s">
        <v>14</v>
      </c>
      <c r="E8" s="23" t="s">
        <v>553</v>
      </c>
      <c r="F8" s="24"/>
      <c r="G8" s="24"/>
      <c r="H8" s="24"/>
      <c r="I8" s="4"/>
    </row>
    <row r="9" spans="1:9" ht="27.75" customHeight="1" x14ac:dyDescent="0.25">
      <c r="B9" s="16">
        <v>16153710</v>
      </c>
      <c r="C9" s="16" t="s">
        <v>10</v>
      </c>
      <c r="D9" s="16" t="s">
        <v>14</v>
      </c>
      <c r="E9" s="20" t="s">
        <v>359</v>
      </c>
      <c r="F9" s="15"/>
      <c r="G9" s="15"/>
      <c r="H9" s="15"/>
      <c r="I9" s="4"/>
    </row>
    <row r="10" spans="1:9" ht="27.75" customHeight="1" x14ac:dyDescent="0.25">
      <c r="B10" s="16">
        <v>16153904</v>
      </c>
      <c r="C10" s="16" t="s">
        <v>10</v>
      </c>
      <c r="D10" s="16" t="s">
        <v>14</v>
      </c>
      <c r="E10" s="20" t="s">
        <v>547</v>
      </c>
      <c r="F10" s="15"/>
      <c r="G10" s="15"/>
      <c r="H10" s="15"/>
      <c r="I10" s="4"/>
    </row>
    <row r="11" spans="1:9" ht="27.75" customHeight="1" x14ac:dyDescent="0.25">
      <c r="B11" s="16">
        <v>16153850</v>
      </c>
      <c r="C11" s="16" t="s">
        <v>10</v>
      </c>
      <c r="D11" s="16" t="s">
        <v>7</v>
      </c>
      <c r="E11" s="20" t="s">
        <v>546</v>
      </c>
      <c r="F11" s="15"/>
      <c r="G11" s="15"/>
      <c r="H11" s="15"/>
      <c r="I11" s="4"/>
    </row>
    <row r="12" spans="1:9" ht="27.75" customHeight="1" x14ac:dyDescent="0.25">
      <c r="B12" s="16">
        <v>16153685</v>
      </c>
      <c r="C12" s="16" t="s">
        <v>10</v>
      </c>
      <c r="D12" s="16" t="s">
        <v>14</v>
      </c>
      <c r="E12" s="20" t="s">
        <v>335</v>
      </c>
      <c r="F12" s="15"/>
      <c r="G12" s="15"/>
      <c r="H12" s="15"/>
      <c r="I12" s="4"/>
    </row>
    <row r="13" spans="1:9" ht="27.75" customHeight="1" x14ac:dyDescent="0.25">
      <c r="B13" s="16">
        <v>16152877</v>
      </c>
      <c r="C13" s="16" t="s">
        <v>10</v>
      </c>
      <c r="D13" s="16" t="s">
        <v>15</v>
      </c>
      <c r="E13" s="20" t="s">
        <v>544</v>
      </c>
      <c r="F13" s="15"/>
      <c r="G13" s="15"/>
      <c r="H13" s="15"/>
      <c r="I13" s="4"/>
    </row>
    <row r="14" spans="1:9" ht="27.75" customHeight="1" x14ac:dyDescent="0.25">
      <c r="B14" s="16">
        <v>16153437</v>
      </c>
      <c r="C14" s="16" t="s">
        <v>10</v>
      </c>
      <c r="D14" s="16" t="s">
        <v>12</v>
      </c>
      <c r="E14" s="20" t="s">
        <v>545</v>
      </c>
      <c r="F14" s="15"/>
      <c r="G14" s="15"/>
      <c r="H14" s="15"/>
      <c r="I14" s="4"/>
    </row>
    <row r="15" spans="1:9" ht="27.75" customHeight="1" x14ac:dyDescent="0.25">
      <c r="B15" s="16"/>
      <c r="C15" s="16"/>
      <c r="D15" s="16"/>
      <c r="E15" s="20"/>
      <c r="F15" s="15"/>
      <c r="G15" s="15"/>
      <c r="H15" s="15"/>
      <c r="I15" s="4"/>
    </row>
    <row r="16" spans="1:9" ht="27.75" customHeight="1" x14ac:dyDescent="0.25">
      <c r="B16" s="16"/>
      <c r="C16" s="16"/>
      <c r="D16" s="16"/>
      <c r="E16" s="20"/>
      <c r="F16" s="15"/>
      <c r="G16" s="15"/>
      <c r="H16" s="15"/>
      <c r="I16" s="4"/>
    </row>
    <row r="17" spans="2:9" ht="27.75" customHeight="1" x14ac:dyDescent="0.25">
      <c r="B17" s="16"/>
      <c r="C17" s="16"/>
      <c r="D17" s="16"/>
      <c r="E17" s="20"/>
      <c r="F17" s="15"/>
      <c r="G17" s="15"/>
      <c r="H17" s="15"/>
      <c r="I17" s="4"/>
    </row>
    <row r="18" spans="2:9" ht="27.75" customHeight="1" x14ac:dyDescent="0.25">
      <c r="B18" s="16"/>
      <c r="C18" s="16"/>
      <c r="D18" s="16"/>
      <c r="E18" s="20"/>
      <c r="F18" s="15"/>
      <c r="G18" s="15"/>
      <c r="H18" s="15"/>
      <c r="I18" s="4"/>
    </row>
    <row r="19" spans="2:9" ht="27.75" customHeight="1" x14ac:dyDescent="0.25">
      <c r="B19" s="16"/>
      <c r="C19" s="16"/>
      <c r="D19" s="16"/>
      <c r="E19" s="20"/>
      <c r="F19" s="15"/>
      <c r="G19" s="15"/>
      <c r="H19" s="15"/>
      <c r="I19" s="4"/>
    </row>
    <row r="20" spans="2:9" ht="27.75" customHeight="1" x14ac:dyDescent="0.25">
      <c r="B20" s="16"/>
      <c r="C20" s="16"/>
      <c r="D20" s="16"/>
      <c r="E20" s="20"/>
      <c r="F20" s="15"/>
      <c r="G20" s="15"/>
      <c r="H20" s="15"/>
      <c r="I20" s="4"/>
    </row>
    <row r="21" spans="2:9" ht="27.75" customHeight="1" x14ac:dyDescent="0.25">
      <c r="B21" s="16"/>
      <c r="C21" s="16"/>
      <c r="D21" s="16"/>
      <c r="E21" s="20"/>
      <c r="F21" s="15"/>
      <c r="G21" s="15"/>
      <c r="H21" s="15"/>
      <c r="I21" s="4"/>
    </row>
    <row r="22" spans="2:9" ht="25.5" customHeight="1" thickBot="1" x14ac:dyDescent="0.3">
      <c r="B22" s="18"/>
      <c r="C22" s="18"/>
      <c r="D22" s="18"/>
      <c r="E22" s="21"/>
      <c r="F22" s="17"/>
      <c r="G22" s="17"/>
      <c r="H22" s="17"/>
      <c r="I22" s="4"/>
    </row>
    <row r="23" spans="2:9" ht="27.75" customHeight="1" x14ac:dyDescent="0.25">
      <c r="B23" s="14"/>
      <c r="C23" s="14"/>
      <c r="D23" s="14"/>
      <c r="E23" s="19"/>
      <c r="F23" s="10"/>
      <c r="G23" s="10"/>
      <c r="H23" s="10"/>
    </row>
    <row r="24" spans="2:9" ht="27.75" customHeight="1" x14ac:dyDescent="0.25">
      <c r="B24" s="14"/>
      <c r="C24" s="14"/>
      <c r="D24" s="14"/>
      <c r="E24" s="19"/>
      <c r="F24" s="10"/>
      <c r="G24" s="10"/>
      <c r="H24" s="10"/>
    </row>
    <row r="25" spans="2:9" ht="27.75" customHeight="1" x14ac:dyDescent="0.25">
      <c r="B25" s="14"/>
      <c r="C25" s="14"/>
      <c r="D25" s="14"/>
      <c r="E25" s="19"/>
      <c r="F25" s="10"/>
      <c r="G25" s="10"/>
      <c r="H25" s="10"/>
    </row>
    <row r="26" spans="2:9" ht="27.75" customHeight="1" x14ac:dyDescent="0.25">
      <c r="B26" s="14"/>
      <c r="C26" s="14"/>
      <c r="D26" s="14"/>
      <c r="E26" s="19"/>
      <c r="F26" s="10"/>
      <c r="G26" s="10"/>
      <c r="H26" s="10"/>
    </row>
    <row r="27" spans="2:9" ht="27.75" customHeight="1" x14ac:dyDescent="0.25">
      <c r="B27" s="14"/>
      <c r="C27" s="14"/>
      <c r="D27" s="14"/>
      <c r="E27" s="19"/>
      <c r="F27" s="10"/>
      <c r="G27" s="10"/>
      <c r="H27" s="10"/>
    </row>
    <row r="28" spans="2:9" ht="27.75" customHeight="1" x14ac:dyDescent="0.25">
      <c r="B28" s="14"/>
      <c r="C28" s="14"/>
      <c r="D28" s="14"/>
      <c r="E28" s="19"/>
      <c r="F28" s="10"/>
      <c r="G28" s="10"/>
      <c r="H28" s="10"/>
    </row>
    <row r="29" spans="2:9" ht="27.75" customHeight="1" x14ac:dyDescent="0.25">
      <c r="B29" s="14"/>
      <c r="C29" s="14"/>
      <c r="D29" s="14"/>
      <c r="E29" s="19"/>
      <c r="F29" s="10"/>
      <c r="G29" s="10"/>
      <c r="H29" s="10"/>
    </row>
    <row r="30" spans="2:9" ht="27.75" customHeight="1" x14ac:dyDescent="0.25">
      <c r="B30" s="14"/>
      <c r="C30" s="14"/>
      <c r="D30" s="14"/>
      <c r="E30" s="19"/>
      <c r="F30" s="10"/>
      <c r="G30" s="10"/>
      <c r="H30" s="10"/>
    </row>
    <row r="31" spans="2:9" ht="27.75" customHeight="1" x14ac:dyDescent="0.25">
      <c r="B31" s="14"/>
      <c r="C31" s="14"/>
      <c r="D31" s="14"/>
      <c r="E31" s="19"/>
      <c r="F31" s="10"/>
      <c r="G31" s="10"/>
      <c r="H31" s="10"/>
    </row>
    <row r="32" spans="2:9" ht="27.75" customHeight="1" x14ac:dyDescent="0.25">
      <c r="B32" s="14"/>
      <c r="C32" s="14"/>
      <c r="D32" s="14"/>
      <c r="E32" s="19"/>
      <c r="F32" s="10"/>
      <c r="G32" s="10"/>
      <c r="H32" s="10"/>
    </row>
    <row r="33" spans="2:8" ht="27.75" customHeight="1" x14ac:dyDescent="0.25">
      <c r="B33" s="14"/>
      <c r="C33" s="14"/>
      <c r="D33" s="14"/>
      <c r="E33" s="19"/>
      <c r="F33" s="10"/>
      <c r="G33" s="10"/>
      <c r="H33" s="10"/>
    </row>
    <row r="34" spans="2:8" ht="27.75" customHeight="1" x14ac:dyDescent="0.25">
      <c r="B34" s="14"/>
      <c r="C34" s="14"/>
      <c r="D34" s="14"/>
      <c r="E34" s="19"/>
      <c r="F34" s="10"/>
      <c r="G34" s="10"/>
      <c r="H34" s="10"/>
    </row>
    <row r="35" spans="2:8" ht="27.75" customHeight="1" x14ac:dyDescent="0.25">
      <c r="B35" s="14"/>
      <c r="C35" s="14"/>
      <c r="D35" s="14"/>
      <c r="E35" s="19"/>
      <c r="F35" s="10"/>
      <c r="G35" s="10"/>
      <c r="H35" s="10"/>
    </row>
    <row r="36" spans="2:8" ht="27.75" customHeight="1" x14ac:dyDescent="0.25">
      <c r="B36" s="14"/>
      <c r="C36" s="14"/>
      <c r="D36" s="14"/>
      <c r="E36" s="19"/>
      <c r="F36" s="10"/>
      <c r="G36" s="10"/>
      <c r="H36" s="10"/>
    </row>
    <row r="37" spans="2:8" ht="27.75" customHeight="1" x14ac:dyDescent="0.25">
      <c r="B37" s="14"/>
      <c r="C37" s="14"/>
      <c r="D37" s="14"/>
      <c r="E37" s="19"/>
      <c r="F37" s="10"/>
      <c r="G37" s="10"/>
      <c r="H37" s="10"/>
    </row>
    <row r="38" spans="2:8" ht="27.75" customHeight="1" x14ac:dyDescent="0.25">
      <c r="B38" s="14"/>
      <c r="C38" s="14"/>
      <c r="D38" s="14"/>
      <c r="E38" s="19"/>
      <c r="F38" s="10"/>
      <c r="G38" s="10"/>
      <c r="H38" s="10"/>
    </row>
    <row r="39" spans="2:8" ht="27.75" customHeight="1" x14ac:dyDescent="0.25">
      <c r="B39" s="14"/>
      <c r="C39" s="14"/>
      <c r="D39" s="14"/>
      <c r="E39" s="19"/>
      <c r="F39" s="10"/>
      <c r="G39" s="10"/>
      <c r="H39" s="10"/>
    </row>
    <row r="40" spans="2:8" ht="27.75" customHeight="1" x14ac:dyDescent="0.25">
      <c r="B40" s="14"/>
      <c r="C40" s="14"/>
      <c r="D40" s="14"/>
      <c r="E40" s="19"/>
      <c r="F40" s="10"/>
      <c r="G40" s="10"/>
      <c r="H40" s="10"/>
    </row>
    <row r="41" spans="2:8" ht="27.75" customHeight="1" x14ac:dyDescent="0.25">
      <c r="B41" s="14"/>
      <c r="C41" s="14"/>
      <c r="D41" s="14"/>
      <c r="E41" s="19"/>
      <c r="F41" s="10"/>
      <c r="G41" s="10"/>
      <c r="H41" s="10"/>
    </row>
    <row r="42" spans="2:8" ht="27.75" customHeight="1" x14ac:dyDescent="0.25">
      <c r="B42" s="14"/>
      <c r="C42" s="14"/>
      <c r="D42" s="14"/>
      <c r="E42" s="19"/>
      <c r="F42" s="10"/>
      <c r="G42" s="10"/>
      <c r="H42" s="10"/>
    </row>
    <row r="43" spans="2:8" ht="27.75" customHeight="1" x14ac:dyDescent="0.25">
      <c r="B43" s="14"/>
      <c r="C43" s="14"/>
      <c r="D43" s="14"/>
      <c r="E43" s="19"/>
      <c r="F43" s="10"/>
      <c r="G43" s="10"/>
      <c r="H43" s="10"/>
    </row>
  </sheetData>
  <mergeCells count="6">
    <mergeCell ref="B1:C1"/>
    <mergeCell ref="D1:D2"/>
    <mergeCell ref="E1:E2"/>
    <mergeCell ref="F1:G2"/>
    <mergeCell ref="H1:H2"/>
    <mergeCell ref="B2:C2"/>
  </mergeCells>
  <conditionalFormatting sqref="H1">
    <cfRule type="cellIs" dxfId="12" priority="3" operator="equal">
      <formula>"Página 1/2"</formula>
    </cfRule>
  </conditionalFormatting>
  <conditionalFormatting sqref="E1">
    <cfRule type="top10" dxfId="11" priority="2" rank="10"/>
  </conditionalFormatting>
  <conditionalFormatting sqref="D1">
    <cfRule type="top10" dxfId="10" priority="1" rank="10"/>
  </conditionalFormatting>
  <pageMargins left="3.937007874015748E-2" right="3.937007874015748E-2" top="3.937007874015748E-2" bottom="3.937007874015748E-2" header="3.937007874015748E-2" footer="3.937007874015748E-2"/>
  <pageSetup paperSize="9" orientation="landscape"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7FF920D21CF624AA2A86C6D1F0B3368" ma:contentTypeVersion="2" ma:contentTypeDescription="Crie um novo documento." ma:contentTypeScope="" ma:versionID="d8eb93809d61657fb9f662e048de5a82">
  <xsd:schema xmlns:xsd="http://www.w3.org/2001/XMLSchema" xmlns:xs="http://www.w3.org/2001/XMLSchema" xmlns:p="http://schemas.microsoft.com/office/2006/metadata/properties" xmlns:ns2="3dc71d6e-7cd5-4f5a-bd1c-37f4b8960d67" targetNamespace="http://schemas.microsoft.com/office/2006/metadata/properties" ma:root="true" ma:fieldsID="a29151610d339da29e93318aef0790ac" ns2:_="">
    <xsd:import namespace="3dc71d6e-7cd5-4f5a-bd1c-37f4b8960d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c71d6e-7cd5-4f5a-bd1c-37f4b8960d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AA6BE4-8E83-4018-8A8C-41B13500D788}">
  <ds:schemaRefs>
    <ds:schemaRef ds:uri="http://schemas.microsoft.com/office/2006/metadata/properties"/>
    <ds:schemaRef ds:uri="3dc71d6e-7cd5-4f5a-bd1c-37f4b8960d67"/>
    <ds:schemaRef ds:uri="http://schemas.openxmlformats.org/package/2006/metadata/core-properties"/>
    <ds:schemaRef ds:uri="http://schemas.microsoft.com/office/infopath/2007/PartnerControls"/>
    <ds:schemaRef ds:uri="http://schemas.microsoft.com/office/2006/documentManagement/types"/>
    <ds:schemaRef ds:uri="http://purl.org/dc/elements/1.1/"/>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39FFB375-BBD5-4414-AC71-42B9B8A5C2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c71d6e-7cd5-4f5a-bd1c-37f4b8960d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485F3D7-D8FF-4E5D-BE05-98ECC1B8EBD8}">
  <ds:schemaRefs>
    <ds:schemaRef ds:uri="http://schemas.microsoft.com/DataMashup"/>
  </ds:schemaRefs>
</ds:datastoreItem>
</file>

<file path=customXml/itemProps4.xml><?xml version="1.0" encoding="utf-8"?>
<ds:datastoreItem xmlns:ds="http://schemas.openxmlformats.org/officeDocument/2006/customXml" ds:itemID="{A7CC6FE5-D1D0-4771-8457-1731B74A03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14</vt:i4>
      </vt:variant>
    </vt:vector>
  </HeadingPairs>
  <TitlesOfParts>
    <vt:vector size="14" baseType="lpstr">
      <vt:lpstr>DH</vt:lpstr>
      <vt:lpstr>UT</vt:lpstr>
      <vt:lpstr>TE</vt:lpstr>
      <vt:lpstr>HDT</vt:lpstr>
      <vt:lpstr>CCF</vt:lpstr>
      <vt:lpstr>COQUE</vt:lpstr>
      <vt:lpstr>BASE DADOS</vt:lpstr>
      <vt:lpstr>Planilha2</vt:lpstr>
      <vt:lpstr>IMPRIMIR_CCF</vt:lpstr>
      <vt:lpstr>IMPRIMIR_TE</vt:lpstr>
      <vt:lpstr>IMPRIMIR_DH</vt:lpstr>
      <vt:lpstr>IMPRIMIR_UT</vt:lpstr>
      <vt:lpstr>IMPRIMIR_HDT</vt:lpstr>
      <vt:lpstr>IMPRIMIR_COQUE</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Wasley William Madureira Pinto - PrestServ</dc:creator>
  <cp:keywords/>
  <dc:description/>
  <cp:lastModifiedBy>Wasley William</cp:lastModifiedBy>
  <cp:revision/>
  <cp:lastPrinted>2022-09-02T19:03:19Z</cp:lastPrinted>
  <dcterms:created xsi:type="dcterms:W3CDTF">2022-07-26T11:15:04Z</dcterms:created>
  <dcterms:modified xsi:type="dcterms:W3CDTF">2022-09-05T22:55:03Z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0x010100A7FF920D21CF624AA2A86C6D1F0B3368</vt:lpwstr>
  </property>
</Properties>
</file>